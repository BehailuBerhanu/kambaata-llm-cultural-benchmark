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6600" tabRatio="500" activeTab="2"/>
  </bookViews>
  <sheets>
    <sheet name="Instructions" sheetId="1" r:id="rId1"/>
    <sheet name="Item Bank" sheetId="2" r:id="rId2"/>
    <sheet name="Responses" sheetId="3" r:id="rId3"/>
    <sheet name="Summary Dashboard" sheetId="4" r:id="rId4"/>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G9" i="4" l="1"/>
  <c r="F9" i="4"/>
  <c r="E9" i="4"/>
  <c r="D9" i="4"/>
  <c r="C9" i="4"/>
  <c r="B9" i="4"/>
  <c r="G8" i="4"/>
  <c r="F8" i="4"/>
  <c r="E8" i="4"/>
  <c r="D8" i="4"/>
  <c r="C8" i="4"/>
  <c r="B8" i="4"/>
  <c r="G7" i="4"/>
  <c r="F7" i="4"/>
  <c r="E7" i="4"/>
  <c r="D7" i="4"/>
  <c r="C7" i="4"/>
  <c r="B7" i="4"/>
  <c r="G6" i="4"/>
  <c r="F6" i="4"/>
  <c r="E6" i="4"/>
  <c r="D6" i="4"/>
  <c r="C6" i="4"/>
  <c r="B6" i="4"/>
  <c r="G5" i="4"/>
  <c r="F5" i="4"/>
  <c r="E5" i="4"/>
  <c r="D5" i="4"/>
  <c r="C5" i="4"/>
  <c r="B5" i="4"/>
  <c r="G4" i="4"/>
  <c r="F4" i="4"/>
  <c r="E4" i="4"/>
  <c r="D4" i="4"/>
  <c r="C4" i="4"/>
  <c r="B4" i="4"/>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D13" i="3"/>
  <c r="C13" i="3"/>
  <c r="D12" i="3"/>
  <c r="C12" i="3"/>
  <c r="D11" i="3"/>
  <c r="C11" i="3"/>
  <c r="D10" i="3"/>
  <c r="C10" i="3"/>
  <c r="D9" i="3"/>
  <c r="C9" i="3"/>
  <c r="D8" i="3"/>
  <c r="C8" i="3"/>
  <c r="D7" i="3"/>
  <c r="C7" i="3"/>
  <c r="D6" i="3"/>
  <c r="C6" i="3"/>
  <c r="D5" i="3"/>
  <c r="C5" i="3"/>
  <c r="D4" i="3"/>
  <c r="C4" i="3"/>
  <c r="D3" i="3"/>
  <c r="C3" i="3"/>
  <c r="D2" i="3"/>
  <c r="C2" i="3"/>
</calcChain>
</file>

<file path=xl/sharedStrings.xml><?xml version="1.0" encoding="utf-8"?>
<sst xmlns="http://schemas.openxmlformats.org/spreadsheetml/2006/main" count="2306" uniqueCount="764">
  <si>
    <t>Kembata / Kambaata LLM Hallucination Scoring — Live Workbook</t>
  </si>
  <si>
    <t>Item Bank contains your 77 manually-verified Q&amp;A items. Responses tab is pre-built with one row per item per model (ChatGPT, Gemini, Claude, DeepSeek) — just paste each model's answer in and score it.</t>
  </si>
  <si>
    <t>How to use this workbook</t>
  </si>
  <si>
    <t>• 1. Item Bank is already filled in with your verified ground truth — no need to redo that step.</t>
  </si>
  <si>
    <t>• 2. 12 items are highlighted ORANGE — these were flagged during automated citation re-checking as needing a second look before you fully trust them (see Item Bank column 'Flagged for Recheck'). Check these first if you haven't already.</t>
  </si>
  <si>
    <t>• 3. Go to the Responses tab. It already has one row per item, per model (308 rows total). For each row, ask that item's Question to that row's Model, then paste the raw answer into 'Raw Response'.</t>
  </si>
  <si>
    <t>• 4. Score each response using the dropdown menus (Accuracy, Fabrication, Narrative Substitution, Geography Conflation).</t>
  </si>
  <si>
    <t>• 5. Check the Summary Dashboard — it updates automatically as you fill in Responses.</t>
  </si>
  <si>
    <t>Colour key</t>
  </si>
  <si>
    <t>• Yellow fill = a cell you are meant to type into.</t>
  </si>
  <si>
    <t>• Orange fill (Item Bank only) = one of the 12 items flagged for a manual recheck.</t>
  </si>
  <si>
    <t>• White fill = automatic (formula-driven) — do not overwrite these.</t>
  </si>
  <si>
    <t>Scoring definitions</t>
  </si>
  <si>
    <t>• Accuracy (0-4): 0 = completely wrong/unrelated, 1 = mostly wrong, 2 = mixed, 3 = mostly correct with minor errors, 4 = fully correct and complete.</t>
  </si>
  <si>
    <t>• Fabrication: None = no invented details, Minor = small invented specifics, Severe = a substantially invented practice/role/event presented as fact.</t>
  </si>
  <si>
    <t>• Narrative Substitution (0-3): 0 = none, 1 = mild generic framing, 2 = clear substitution with a Western/unrelated tradition's structure, 3 = full replacement.</t>
  </si>
  <si>
    <t>• Geography Conflation: does the model wrongly merge Kembata with Tembaro, or use the outdated 'Kembata Tembaro Zone' framing? Yes / No.</t>
  </si>
  <si>
    <t>Item ID</t>
  </si>
  <si>
    <t>Domain</t>
  </si>
  <si>
    <t>Item Type</t>
  </si>
  <si>
    <t>Question / Prompt to Test</t>
  </si>
  <si>
    <t>Verified Ground Truth</t>
  </si>
  <si>
    <t>Cultural Context / Elaboration</t>
  </si>
  <si>
    <t>Ground Truth Source</t>
  </si>
  <si>
    <t>Exact Page Reference</t>
  </si>
  <si>
    <t>Human-Verified?</t>
  </si>
  <si>
    <t>Flagged for Recheck</t>
  </si>
  <si>
    <t>K001</t>
  </si>
  <si>
    <t>Traditional Governance</t>
  </si>
  <si>
    <t>Institutional/Practice</t>
  </si>
  <si>
    <t>Who is the Woma in Kambaata culture?</t>
  </si>
  <si>
    <t>The traditional king of the Kambaata people who resided at Mount Hambaricho.</t>
  </si>
  <si>
    <t>The Woma ruled the Kambaata Kingdom from its institution in the 16th century until its incorporation into the Ethiopian Empire in the late 19th century [Forum19.pdf, Kambaata people - Wikipedia]. He was a traditional king from the Oyeta clan who possessed supreme authority and was formally crowned through ceremonial chanting at Mount Hambaricho [Forum19.pdf, Kambaata people - Wikipedia]. He headed the Kokata, the general supreme assembly of the Kambaata people, where customary laws were established [Forum19.pdf, tagesse.2.pdf].</t>
  </si>
  <si>
    <t>Forum19.pdf</t>
  </si>
  <si>
    <t>Forum19.pdf: Page 135</t>
  </si>
  <si>
    <t>Y</t>
  </si>
  <si>
    <t>K002</t>
  </si>
  <si>
    <t>Traditional Religion</t>
  </si>
  <si>
    <t>Who is Abba Serecho (Abba Sarecho) in Kambaata traditional religion?</t>
  </si>
  <si>
    <t>He was the supreme spiritual leader (Mägänancho) who lived at Mount Hambaricho.</t>
  </si>
  <si>
    <t>The Serecho (Abba Serecho) is the supreme spiritual leader of the traditional fandaano religion who resided at the sacred Mount Hambaricho [tagesse.2.pdf]. He possessed significant political, legal, and customary influence, and followers sought his prayers for blessings of fertility and prosperity [tagesse.2.pdf]. He acted as a high priest, sacrifice healer, and soothsayer in traditional conflict resolutions [tagesse.2.pdf].</t>
  </si>
  <si>
    <t>tagesse.2.pdf, Tagesse Halibo</t>
  </si>
  <si>
    <t>Page  100-101</t>
  </si>
  <si>
    <t>K003</t>
  </si>
  <si>
    <t>What is Fandaano in Kambaata culture?</t>
  </si>
  <si>
    <t>The traditional religion of the Kambaata people prior to universal religions.</t>
  </si>
  <si>
    <t>The fandaano traditional religion represents a syncretistic faith blending Cushitic animistic rituals and ancient Christian influences [tagesse.2.pdf]. It was highly robust, regulating community morality, farming cycles, and social values until the expansion of universal religions in the mid-20th century [tagesse.2.pdf]. New converts to fandaano had to pass through three distinct stages: circumcision, baptism, and fasting [tagesse.2.pdf].</t>
  </si>
  <si>
    <t>Page 98-101</t>
  </si>
  <si>
    <t>K004</t>
  </si>
  <si>
    <t>Customary Law</t>
  </si>
  <si>
    <t>Which Kambaata customary code of conduct was institutionalised by King Dilbato?</t>
  </si>
  <si>
    <t>The Dilbato-Sera customary law code.</t>
  </si>
  <si>
    <t>This famous customary code of conduct was promulgated by King Dilbato following a historical civil war between the Oyyata ruling class and commoners [Forum19.pdf]. It laid down specific social, legal, and economic rules of co-existence and is the origin from which other forms of Sera are derived [Forum19.pdf]. The code of conduct protected the rights of the individual while maintaining the social order and hierarchy of Kambaata [Forum19.pdf].</t>
  </si>
  <si>
    <t>Forum19.pdf, Belachew Gebrewold-Tochalo</t>
  </si>
  <si>
    <t>Page 134</t>
  </si>
  <si>
    <t>K005</t>
  </si>
  <si>
    <t>What is Onna-Sera in Kambaata village culture?</t>
  </si>
  <si>
    <t>The traditional burial society that exists in each village (Heera).</t>
  </si>
  <si>
    <t>Operating under the mutuality principle, Onna-Sera obligates all villagers (Heera) to assist a grieving household [Forum19.pdf]. During mourning, members are prohibited from performing manual labor, and neighbors handle grave digging, cooking, and water fetching [Forum19.pdf]. This mutual-aid system is governed by the rules of the village assembly to provide immediate social security [Forum19.pdf].</t>
  </si>
  <si>
    <t>Page 178</t>
  </si>
  <si>
    <t>K006</t>
  </si>
  <si>
    <t>What is Mini-Sera in Kambaata culture?</t>
  </si>
  <si>
    <t>Communal mutual aid to rebuild a house after it is destroyed or burnt down.</t>
  </si>
  <si>
    <t>The Mini-Sera customary mutual-aid practice obligates village members to gather and construct a new house for any family whose home is accidentally destroyed or burnt down [Forum19.pdf]. It represents a highly formalized social security net that guarantees shelter and rehabilitation through communal labor [Forum19.pdf]. This custom is strictly enforced under the village customary laws [Forum19.pdf].</t>
  </si>
  <si>
    <t>Page 179</t>
  </si>
  <si>
    <t>K007</t>
  </si>
  <si>
    <t>What is Lali-Sera in Kambaata village life?</t>
  </si>
  <si>
    <t>Customary mutual financial aid given to a member who accidentally loses an ox or cow.</t>
  </si>
  <si>
    <t>The Lali-Sera customary mutual-aid practice provides economic security to livestock owners who lose cows or oxen accidentally [Forum19.pdf]. Village members gather and collect financial contributions so that the owner can purchase a replacement and recover from the economic blow [Forum19.pdf]. It functions as a critical safety net in the mixed agricultural-pastoral economy of Kambaata [Forum19.pdf, tagesse.2.pdf].</t>
  </si>
  <si>
    <t>K008</t>
  </si>
  <si>
    <t>What is Huje-Sera in Kambaata agricultural practice?</t>
  </si>
  <si>
    <t>A customary system that regulates voluntary cooperative agricultural work groups.</t>
  </si>
  <si>
    <t>The Huje-Sera regulates voluntary cooperative group labor for heavy agricultural activities such as weeding, harvesting, and land preparation [Forum19.pdf]. Unlike other forms of Sera, Huje-Sera does not carry coercive legal sanctions or excommunication penalties [Forum19.pdf]. It relies on mutual goodwill and social expectations to ensure agricultural productivity [Forum19.pdf].</t>
  </si>
  <si>
    <t>K009</t>
  </si>
  <si>
    <t>What is Ilami-Sera in Kambaata kinship structure?</t>
  </si>
  <si>
    <t>Customary rules and disputes settled on the basis of clan and patriarchal lineage.</t>
  </si>
  <si>
    <t>The Ilami-Sera represents a customary association based on clan membership that carries a strong political identity [Forum19.pdf]. Its leadership resides in Boki Danas, who settle inheritance, marriage, and internal disputes [Forum19.pdf]. It regulates relations among members of the same lineage to maintain solid lineage identity and pride [Forum19.pdf].</t>
  </si>
  <si>
    <t xml:space="preserve">Forum19.pdf: Page 201, </t>
  </si>
  <si>
    <t>K010</t>
  </si>
  <si>
    <t>What is the Kokata in Kambaata traditional administration?</t>
  </si>
  <si>
    <t>The supreme assembly or council of the entire Kambaata state domain.</t>
  </si>
  <si>
    <t>The Kokata is the supreme council and general assembly of the Kambaata people [tagesse.2.pdf]. Headed by the Woma (King), this macro-sociological assembly brought together representatives from all sub-districts and clans to debate state affairs [tagesse.2.pdf]. It was a deliberative arena where customary laws (Sera) were formally established and public disputes argued through competitive public oratory [tagesse.2.pdf].</t>
  </si>
  <si>
    <t>Page 34-39</t>
  </si>
  <si>
    <t>K011</t>
  </si>
  <si>
    <t>Masala Festival</t>
  </si>
  <si>
    <t>What does the celebrated annual Masaala festival represent in Kambaata culture?</t>
  </si>
  <si>
    <t>The end of the rainy season, the conclusion of agricultural cycles, and the New Year.</t>
  </si>
  <si>
    <t>Observed in September, the celebrated annual Masaala festival signifies the end of the rainy season, the conclusion of agricultural activities, and the start of a New Year [Forum19.pdf, tagesse.2.pdf]. The festival fosters community reconciliation, family reunions, and major cultural feasts across all social classes [Forum19.pdf, tagesse.2.pdf]. It represents a highly popular event that integrates spiritual, cultural, and social renewal [Forum19.pdf, tagesse.2.pdf].</t>
  </si>
  <si>
    <t xml:space="preserve">Forum19.pdf, Belachew Gebrewold-Tochalo </t>
  </si>
  <si>
    <t>Forum19.pdf: Page 158</t>
  </si>
  <si>
    <t>K012</t>
  </si>
  <si>
    <t>Cooperative Labor</t>
  </si>
  <si>
    <t>What is the Geja in Kambaata agricultural cooperation?</t>
  </si>
  <si>
    <t>A small cooperative group of about 10 age-mates who perform equal tasks for members in turn.</t>
  </si>
  <si>
    <t>The Geja is a cooperative group of around 10 peers of the same age who come together to perform the same type of work for members [Forum19.pdf]. Activities include grass cutting, harvesting, and firewood preparation, accompanied by traditional songs like Drancha [Forum19.pdf]. It functions to ensure that output is balanced and cooperative labor is equally exchanged [Forum19.pdf].</t>
  </si>
  <si>
    <t>Page 177</t>
  </si>
  <si>
    <t>K013</t>
  </si>
  <si>
    <t>What is the Gezimma in Kambaata farming practice?</t>
  </si>
  <si>
    <t>A group cooperative labor association used for major farming and house building tasks.</t>
  </si>
  <si>
    <t>The Gezimma represents a cooperative group labor association used primarily for intensive agricultural farming and house construction [Forum19.pdf, tagesse.2.pdf]. Members pool their labor and coordinate activities for mutual benefit, establishing a strong social security network [Forum19.pdf, tagesse.2.pdf]. It allows households to accomplish large-scale tasks that exceed individual capacity [Forum19.pdf, tagesse.2.pdf].</t>
  </si>
  <si>
    <t>Forum19.pdf, Belachew Gebrewold-Tochalo / tagesse.2.pdf, Tagesse Halibo</t>
  </si>
  <si>
    <t>Forum19.pdf: Page 177; tagesse.2.pdf: Page 43</t>
  </si>
  <si>
    <t>K014</t>
  </si>
  <si>
    <t>What is the Dawa in Kambaata cooperative labor?</t>
  </si>
  <si>
    <t>A large cooperative labor group summoned by an individual without direct labor reciprocity.</t>
  </si>
  <si>
    <t>The Dawa is a large cooperative labor group summoned by an individual in need of help, with no reciprocal labor expected [Forum19.pdf, tagesse.2.pdf]. Neighbors and relatives are called to perform massive tasks like harvesting or roof covering, with the host customarily obligated to prepare high-quality food and drinks [Forum19.pdf, tagesse.2.pdf]. It represents a key mechanism for mobilizing community resources during critical farming seasons [Forum19.pdf, tagesse.2.pdf].</t>
  </si>
  <si>
    <t>K015</t>
  </si>
  <si>
    <t>What is the Wijjo in Kambaata women's culture?</t>
  </si>
  <si>
    <t>A cooperative butter and milk-saving association of women who deliver products in rotation.</t>
  </si>
  <si>
    <t>The Wijjo represents an exclusive cooperative association of women who pool their milk production and deliver it to each member in rotation [Forum19.pdf]. The goal is to accumulate a large amount of milk and butter for major feasts like Masaala, helping households manage scarce resources [Forum19.pdf]. This practice showcases traditional financial and resource-saving collaboration among women [Forum19.pdf].</t>
  </si>
  <si>
    <t>K016</t>
  </si>
  <si>
    <t>Who is the Seri Dana (Hera Dana) in Kambaata customary law?</t>
  </si>
  <si>
    <t>An elected traditional judge and administrator who manages local conflicts.</t>
  </si>
  <si>
    <t>The Seri Dana (Hera Dana) traditional judges and administrators are responsible for resolving local conflicts and organizing burial ceremonies [Forum19.pdf]. Elected democratically by the village assembly (Heera-ya'a), they enforce customary laws and impose sanctions [Forum19.pdf]. They must possess outstanding personal qualities and belong to higher social classes [Forum19.pdf].</t>
  </si>
  <si>
    <t>Page 180</t>
  </si>
  <si>
    <t>K017</t>
  </si>
  <si>
    <t>What is the Yaayya (Yaayyu) in Kambaata customary sanctions?</t>
  </si>
  <si>
    <t>The most severe customary sanction of social ostracisation or excommunication.</t>
  </si>
  <si>
    <t>The Yaayya represents the most severe customary sanction of social excommunication in Kambaata [Forum19.pdf, tagesse.2.pdf]. Used to punish individuals who violate village laws or refuse to fulfill community obligations [Forum19.pdf, tagesse.2.pdf]. An excommunicated family is completely cut off from mutual aid, communal resources, and burial services [Forum19.pdf, tagesse.2.pdf].</t>
  </si>
  <si>
    <t xml:space="preserve"> tagesse.2.pdf, Tagesse Halibo</t>
  </si>
  <si>
    <t>tagesse.2.pdf: Page 40</t>
  </si>
  <si>
    <t>K018</t>
  </si>
  <si>
    <t>What does the conflict-resolution process of Ittansu mean?</t>
  </si>
  <si>
    <t>"Creating peace through love."</t>
  </si>
  <si>
    <t>The Ittansu is a traditional conflict resolution process translating as 'creating peace through love' [Forum19.pdf]. It represents a dynamic and constructive conflict management system that aims to restore original harmony rather than merely ending a dispute [Forum19.pdf]. Following negotiations, the conflicting parties must kiss each other and the elders to show forgiveness [Forum19.pdf].</t>
  </si>
  <si>
    <t>Page 279</t>
  </si>
  <si>
    <t>K019</t>
  </si>
  <si>
    <t>Funerary Rites</t>
  </si>
  <si>
    <t>What is the Geda in traditional Kambaata funeral services?</t>
  </si>
  <si>
    <t>A highly celebrated warrior-funeral ritual organized exclusively for males.</t>
  </si>
  <si>
    <t>The Geda is a specialized funeral ritual performed exclusively for men to honor their bravery, hunting exploits, and military accomplishments [Forum19.pdf]. Mourners dress as warriors, riding horses and carrying spears to public market places [Forum19.pdf]. It represents a high-profile public display of the lineage's social standing and pride [Forum19.pdf].</t>
  </si>
  <si>
    <t>Forum19.pdf: Page 219</t>
  </si>
  <si>
    <t>K020</t>
  </si>
  <si>
    <t>Marriage Practices</t>
  </si>
  <si>
    <t>What is the Qorsishsha in Kambaata marriage practices?</t>
  </si>
  <si>
    <t>An arranged marriage initiated and fully coordinated by the parents.</t>
  </si>
  <si>
    <t>The Qorsishsha represents an arranged marriage initiated and coordinated by parents [Forum19.pdf, tagesse.2.pdf]. It is based on parental alliance and socio-economic compatibility rather than the couples' love [Forum19.pdf, tagesse.2.pdf]. It involves extensive wedding rituals and has declined significantly with the rise of modern education [Forum19.pdf, tagesse.2.pdf].</t>
  </si>
  <si>
    <t xml:space="preserve">Forum19.pdf: Page 217; </t>
  </si>
  <si>
    <t>K021</t>
  </si>
  <si>
    <t>What is the Laabito in Kambaata marriage practices?</t>
  </si>
  <si>
    <t>A form of marriage based on the mutual consent of the young couple.</t>
  </si>
  <si>
    <t>The Laabito is a marriage form based on the mutual consent of the couple [tagesse.2.pdf]. The couple takes the leading role in arrangements, often meeting and selecting each other at markets or wedding feasts [tagesse.2.pdf]. Following their agreement, the boy's parents send elders to negotiate the bride price and set the wedding date [tagesse.2.pdf].</t>
  </si>
  <si>
    <t>Page 83</t>
  </si>
  <si>
    <t>K022</t>
  </si>
  <si>
    <t>What is the Heerato in Kambaata marriage types?</t>
  </si>
  <si>
    <t>Marriage by elopement or lures without parental prior knowledge.</t>
  </si>
  <si>
    <t>The Heerato is a marriage by elopement or lure [tagesse.2.pdf]. The couple makes an agreement without the knowledge of their parents and utilizes a secret agent (gaanna) to coordinate [tagesse.2.pdf]. The girl secretly departs her family home and takes refuge with the boy's relatives until peace is negotiated [tagesse.2.pdf].</t>
  </si>
  <si>
    <t>Page 84</t>
  </si>
  <si>
    <t>K023</t>
  </si>
  <si>
    <t>What is the Bolocha (Bollochcha) in Kambaata we+D24dding custom?</t>
  </si>
  <si>
    <t>The traditional wedding ceremony which requires months of preparation.</t>
  </si>
  <si>
    <t>The Bolocha traditional wedding ceremony requires months of physical and material preparations, including fattening animals and preparing enset starch [tagesse.2.pdf]. The scale and elaboration of the feast are historically determined by the family's economic status [tagesse.2.pdf]. It represents a major social gathering where families solidify alliances [tagesse.2.pdf].</t>
  </si>
  <si>
    <t>Page 86</t>
  </si>
  <si>
    <t>K024</t>
  </si>
  <si>
    <t>What is the Kiiffa in Kambaata marriage rituals?</t>
  </si>
  <si>
    <t>The most elaborate and highly extended wedding ceremony organized for social fame.</t>
  </si>
  <si>
    <t>The Kiiffa is the most elaborate and extended wedding ceremony arranged for social fame [tagesse.2.pdf]. It involves the largest traditional wedding feast (calalaqa) where guests eat and drink to their absolute satisfaction [tagesse.2.pdf]. The groom's companions (Hamamota) stay for two days, and the bride is gifted extensive household goods [tagesse.2.pdf].</t>
  </si>
  <si>
    <t>K025</t>
  </si>
  <si>
    <t>What is the Calalaqa in Kambaata marriage?</t>
  </si>
  <si>
    <t>The grand and lavish wedding feast of satisfaction arranged during Kiiffa.</t>
  </si>
  <si>
    <t>The Calalaqa represents the grand wedding feast of maximum satisfaction arranged during the Kiiffa wedding ceremony [tagesse.2.pdf]. It represents a lavish feast of food, drinks, and music [tagesse.2.pdf]. This prestigious event is used by wealthy families to display social standing and secure lineage reputation [tagesse.2.pdf].</t>
  </si>
  <si>
    <t>K026</t>
  </si>
  <si>
    <t>Who are the Hamamota (Sifla) in Kambaata wedding?</t>
  </si>
  <si>
    <t>The formal companions and best men of the bridegroom.</t>
  </si>
  <si>
    <t>The Hamamota (Sifla) are the formal companions and best men of the bridegroom [tagesse.2.pdf]. They accompany the groom to the bride's house and participate in extensive singing, dancing, and feasting [tagesse.2.pdf]. They stay for up to two days at the bride's parents' house before escorting the new couple home [tagesse.2.pdf].</t>
  </si>
  <si>
    <t>K028</t>
  </si>
  <si>
    <t>What are the Erifo'o return wedding gifts in Kambaata culture?</t>
  </si>
  <si>
    <t>Return wedding materials presented to the bride upon her safe arrival.</t>
  </si>
  <si>
    <t>The Erifo'o return wedding gifts are presented to the bride upon her safe arrival at her new home [tagesse.2.pdf]. Given by the groom's family, it represents materials and goods to establish the household [tagesse.2.pdf]. This customary gift reinforces the economic alliance between the two uniting families [tagesse.2.pdf].</t>
  </si>
  <si>
    <t>Page 87</t>
  </si>
  <si>
    <t>K029</t>
  </si>
  <si>
    <t>What is the Minni-agisha in Kambaata marriage practices?</t>
  </si>
  <si>
    <t>The return invitation ceremony held to reconcile the couple with the bride's lineage.</t>
  </si>
  <si>
    <t>The Minni-agisha represents a return invitation ceremony held after the wedding [tagesse.2.pdf]. Prepared by the bride's parents to formally mix and reconcile the newlywed couple with her lineage [tagesse.2.pdf]. It marks the official transition where the bride is fully integrated into her husband's family [tagesse.2.pdf].</t>
  </si>
  <si>
    <t>K030</t>
  </si>
  <si>
    <t>Childbearing Rites</t>
  </si>
  <si>
    <t>What is the Wobeta (Wobesha) childbearing ceremony?</t>
  </si>
  <si>
    <t>A traditional ritual bath ceremony prepared for a new mother and her firstborn child.</t>
  </si>
  <si>
    <t>The Wobeta is a traditional ritual bath ceremony for a new mother and her first-born child [tagesse.2.pdf]. Undertaken three to four days after childbirth, village women gather to bathe the mother and baby [tagesse.2.pdf]. The women celebrate by eating special enset porridge, singing traditional songs, and restricting men from entering [tagesse.2.pdf].</t>
  </si>
  <si>
    <t>Page 90</t>
  </si>
  <si>
    <t>K031</t>
  </si>
  <si>
    <t>What is the Jijiira in childbearing practices?</t>
  </si>
  <si>
    <t>A comfortable, highly prepared bedroom constructed by the husband for childbirth.</t>
  </si>
  <si>
    <t>The Jijiira represents a comfortable, highly prepared bedroom constructed for childbirth [tagesse.2.pdf]. Built by the husband to ensure a safe and warm environment for his pregnant wife [tagesse.2.pdf]. The room is heated with fire during labor, and neighbors gather inside to support the woman during delivery [tagesse.2.pdf].</t>
  </si>
  <si>
    <t>Page 89</t>
  </si>
  <si>
    <t>K032</t>
  </si>
  <si>
    <t>Who is the Amma wotaa (Amma wosha) in childbearing history?</t>
  </si>
  <si>
    <t>The traditional goddess of motherhood invoked during childbirth.</t>
  </si>
  <si>
    <t>The Amma wotaa is the traditional goddess of motherhood invoked during labor [tagesse.2.pdf]. Women historically prayed to her during childbirth for assistance and a safe delivery [tagesse.2.pdf]. With the expansion of Christianity, this was largely replaced by invoking Saint Mary as 'Amma Marame' [tagesse.2.pdf].</t>
  </si>
  <si>
    <t>Page 99</t>
  </si>
  <si>
    <t>K033</t>
  </si>
  <si>
    <t>Who are the Senga-Qoro in Kambaata regional administration?</t>
  </si>
  <si>
    <t>Traditional administrative officials elected to lead a Gochchu district.</t>
  </si>
  <si>
    <t>The Senga-Qoro are traditional administrative officials elected to lead a Gochchu district [Forum19.pdf]. Established during King Dilbato's reign, they were elected by consensus between local balabbats and the community [Forum19.pdf]. They managed sub-district disputes and coordinated local tax collection [Forum19.pdf].</t>
  </si>
  <si>
    <t>Page 154</t>
  </si>
  <si>
    <t>K034</t>
  </si>
  <si>
    <t>Who is the Chiqa-Shum in traditional administration?</t>
  </si>
  <si>
    <t>Village chiefs empowered to collect taxes during the Imperial regime.</t>
  </si>
  <si>
    <t>The Chiqa-Shum are village chiefs empowered to collect taxes during the Imperial regime [tagesse.2.pdf]. Appointed to replace traditional administrative units, they functioned as middlemen between the central government and peasants [tagesse.2.pdf]. They were responsible for collecting tributes and maintaining local order under the balabbat system [tagesse.2.pdf].</t>
  </si>
  <si>
    <t>Page 146</t>
  </si>
  <si>
    <t>K036</t>
  </si>
  <si>
    <t>What are the Seju Gochu administrative subdivisions?</t>
  </si>
  <si>
    <t>The thirty administrative sub-divisions of the Kambaata Kingdom.</t>
  </si>
  <si>
    <t>The Seju Gochu represents the thirty administrative sub-divisions of the Kambaata Kingdom [Forum19.pdf]. Promulgated by King Dilbato to simplify state administration, these thirty regions radiated from Mount Hambaricho [Forum19.pdf]. Each sub-division was headed by a Gochi Dana to manage legal and political affairs [Forum19.pdf].</t>
  </si>
  <si>
    <t>Page 135</t>
  </si>
  <si>
    <t>K041</t>
  </si>
  <si>
    <t>Linguistic Customs</t>
  </si>
  <si>
    <t>What is the Ballishsha name taboo among Kambaata women?</t>
  </si>
  <si>
    <t>A special name taboo traditionally practiced by married Kambaata women as a sign of respect.</t>
  </si>
  <si>
    <t>The Ballishsha represents a special name taboo traditionally practiced by married Kambaata women [A_Grammar_of_Kambaata_Part_1_Phonology_N.pdf]. As a sign of respect towards their in-laws, married women must avoid pronouncing their names [A_Grammar_of_Kambaata_Part_1_Phonology_N.pdf]. This includes avoiding any word starting with the same syllable as their names, requiring creative vocabulary substitutions [A_Grammar_of_Kambaata_Part_1_Phonology_N.pdf].</t>
  </si>
  <si>
    <t>A_Grammar_of_Kambaata_Part_1_Phonology_N.pdf, Yvonne Treis</t>
  </si>
  <si>
    <t>Page 30, 7</t>
  </si>
  <si>
    <t>K042</t>
  </si>
  <si>
    <t>Domestic Architecture</t>
  </si>
  <si>
    <t>What is the Gaxa in a traditional Kambaata house?</t>
  </si>
  <si>
    <t>The traditional front room of a round rural Kambaata house.</t>
  </si>
  <si>
    <t>The Gaxa represents the traditional front room of a round rural Kambaata house [A_Grammar_of_Kambaata_Part_1_Phonology_N.pdf]. In traditional architecture, it serves as the main reception area for guests and visitors [A_Grammar_of_Kambaata_Part_1_Phonology_N.pdf]. This layout separates guests from private family fireplace activities [A_Grammar_of_Kambaata_Part_1_Phonology_N.pdf].</t>
  </si>
  <si>
    <t>Page 10</t>
  </si>
  <si>
    <t>K043</t>
  </si>
  <si>
    <t>What is the Duma in Kambaata housing?</t>
  </si>
  <si>
    <t>The back room of a traditional rural round house containing the private fireplace.</t>
  </si>
  <si>
    <t>The Duma represents the back room of a traditional rural Kambaata house [A_Grammar_of_Kambaata_Part_1_Phonology_N.pdf]. In traditional architecture, this private room contains the fireplace and is used for family cooking and sleeping [A_Grammar_of_Kambaata_Part_1_Phonology_N.pdf]. This division maintains private domestic spaces separated from guests [A_Grammar_of_Kambaata_Part_1_Phonology_N.pdf].</t>
  </si>
  <si>
    <t>K044</t>
  </si>
  <si>
    <t>What is the Qo'llu in a Kambaata round house?</t>
  </si>
  <si>
    <t>The designated cattle-pen area inside the round house to protect livestock.</t>
  </si>
  <si>
    <t>The Qo'llu represents the designated cattle-pen area inside a traditional Kambaata house [A_Grammar_of_Kambaata_Part_1_Phonology_N.pdf]. Located inside the round house, it keeps domestic animals safe from cold and thieves [A_Grammar_of_Kambaata_Part_1_Phonology_N.pdf]. This practice showcases a close relationship and cohabitation with livestock in Kambaata culture [A_Grammar_of_Kambaata_Part_1_Phonology_N.pdf].</t>
  </si>
  <si>
    <t>K045</t>
  </si>
  <si>
    <t>Livestock Culture</t>
  </si>
  <si>
    <t>Lexical/Translation</t>
  </si>
  <si>
    <t>What name is given to bulls with a white spot on their forehead in Kambaata?</t>
  </si>
  <si>
    <t>Booq-é (masculine) and Booyy-ó (feminine) are given as forehead spot names.</t>
  </si>
  <si>
    <t>Kambaata people conventionally name bulls Booq-é and cows Booyy-ó based on this forehead marking [A_Grammar_of_Kambaata_Part_1_Phonology_N.pdf].</t>
  </si>
  <si>
    <t>Page 166</t>
  </si>
  <si>
    <t>K049</t>
  </si>
  <si>
    <t>Color Systems</t>
  </si>
  <si>
    <t>What is the compound color term for "blue" in Kambaata?</t>
  </si>
  <si>
    <t>Samaagud-á, literally meaning "sky-similar."</t>
  </si>
  <si>
    <t>It is a literal compound combining the words sam-áa ('sky') and agud-á ('similar') [A_Grammar_of_Kambaata_Part_1_Phonology_N.pdf].</t>
  </si>
  <si>
    <t>Page 288</t>
  </si>
  <si>
    <t>K050</t>
  </si>
  <si>
    <t>Rites of Passage</t>
  </si>
  <si>
    <t>What is the traditional Nuggussa circumcision ceremony?</t>
  </si>
  <si>
    <t>A highly celebrated traditional rite of passage into adulthood.</t>
  </si>
  <si>
    <t>The Nuggussa traditional circumcision ceremony represents a major rite of passage into adulthood [tagesse.2.pdf]. Historically performed on teenagers of both sexes, it requires months of confinement and feasting [tagesse.2.pdf]. The ceremony is highly celebrated and creates lifelong social bonds among peer groups [tagesse.2.pdf].</t>
  </si>
  <si>
    <t>Page 92</t>
  </si>
  <si>
    <t>K051</t>
  </si>
  <si>
    <t>Kinship Structure</t>
  </si>
  <si>
    <t>What is the Bahiru in Kambaata kinship structure?</t>
  </si>
  <si>
    <t>The eldest person in the family, carrying symbolic honor.</t>
  </si>
  <si>
    <t>This term carries symbolic honor, translating as 'the first, the best, the beloved' [Forum19.pdf].</t>
  </si>
  <si>
    <t>Page 199</t>
  </si>
  <si>
    <t>K052</t>
  </si>
  <si>
    <t>What is the traditional assembly term Reeda in Hadiya and parts of Kambaata?</t>
  </si>
  <si>
    <t>A term used in Hadero and Qachabira for the supreme customary assembly (Kokata).</t>
  </si>
  <si>
    <t>It corresponds directly to the Kambaata Kokata council and is used to resolve serious public conflicts [tagesse.2.pdf].</t>
  </si>
  <si>
    <t>Page 37</t>
  </si>
  <si>
    <t>K053</t>
  </si>
  <si>
    <t>Calendar / Timekeeping</t>
  </si>
  <si>
    <t>What is the Maxóo (Maxo) season in Kambaata calendar?</t>
  </si>
  <si>
    <t>The rainy season spanning June, July, and August.</t>
  </si>
  <si>
    <t>It spans the months of June, July, and August, preceding the New Year [A_Grammar_of_Kambaata_Part_1_Phonology_N.pdf].</t>
  </si>
  <si>
    <t>Page 184</t>
  </si>
  <si>
    <t>K054</t>
  </si>
  <si>
    <t>What is the Hagúu season in Kambaata calendar?</t>
  </si>
  <si>
    <t>The dry season following the September New Year.</t>
  </si>
  <si>
    <t>It spans from October to January, following the New Year festival [A_Grammar_of_Kambaata_Part_1_Phonology_N.pdf].</t>
  </si>
  <si>
    <t>K055</t>
  </si>
  <si>
    <t>What Gregorian dates correspond to the Kambaata month Hamilée-ta?</t>
  </si>
  <si>
    <t>July 8 to August 6.</t>
  </si>
  <si>
    <t>It corresponds to the Gregorian dates of July 8 to August 6 [A_Grammar_of_Kambaata_Part_1_Phonology_N.pdf].</t>
  </si>
  <si>
    <t>Page 183</t>
  </si>
  <si>
    <t>K056</t>
  </si>
  <si>
    <t>What is Sanná in the traditional Kambaata calendar?</t>
  </si>
  <si>
    <t>A weekly unit or season division used to coordinate markets.</t>
  </si>
  <si>
    <t>The Sanná represents a weekly unit or season in the traditional Kambaata calendar [A_Grammar_of_Kambaata_Part_1_Phonology_N.pdf]. It represents a custom of dividing time below the month to coordinate markets and communal assemblies [A_Grammar_of_Kambaata_Part_1_Phonology_N.pdf]. This division allows agricultural communities to organize cooperative tasks [A_Grammar_of_Kambaata_Part_1_Phonology_N.pdf].</t>
  </si>
  <si>
    <t>K057</t>
  </si>
  <si>
    <t>What is the Hezzeettú weekly cycle?</t>
  </si>
  <si>
    <t>An eight-day weekly unit traditionally used in Kambaata culture.</t>
  </si>
  <si>
    <t>The Hezzeettú represents an eight-day weekly unit in Kambaata culture [A_Grammar_of_Kambaata_Part_1_Phonology_N.pdf]. It is based on the traditional custom of counting weeks in eight-day cycles [A_Grammar_of_Kambaata_Part_1_Phonology_N.pdf]. This timekeeping method aligns with the scheduling of periodic local markets [A_Grammar_of_Kambaata_Part_1_Phonology_N.pdf].</t>
  </si>
  <si>
    <t>K058</t>
  </si>
  <si>
    <t>What is the Sada grass used for in fandaano rituals?</t>
  </si>
  <si>
    <t>A sacred grass held during traditional praises and used to sprinkle sacrifices.</t>
  </si>
  <si>
    <t>The Sada represents sacred grass held by participants during fandaano praise rituals [tagesse.2.pdf]. It is also used as a sacred glass to sprinkle ritual sacrifices [tagesse.2.pdf]. Holding the grass is a customary action to invite fertility, abundance, and good fortune [tagesse.2.pdf].</t>
  </si>
  <si>
    <t>K060</t>
  </si>
  <si>
    <t>Food &amp; Drinks</t>
  </si>
  <si>
    <t>What is Geeshsha in Kambaata cultural hospitality?</t>
  </si>
  <si>
    <t>A traditional local beer brewed for major festivals and cooperative labor days.</t>
  </si>
  <si>
    <t>The Geeshsha is a traditional local beer brewed for major festivals and cooperative labor days [A_Grammar_of_Kambaata_Part_1_Phonology_N.pdf]. This drink is consumed in large quantities during Masaala, Easter, and circumcisions [A_Grammar_of_Kambaata_Part_1_Phonology_N.pdf]. When geeshsha has been brewed, neighbors arrive early at dawn to partake [A_Grammar_of_Kambaata_Part_1_Phonology_N.pdf].</t>
  </si>
  <si>
    <t>Page 114, 141</t>
  </si>
  <si>
    <t>K061</t>
  </si>
  <si>
    <t>Trade &amp; Exchange</t>
  </si>
  <si>
    <t>What is the Ceecaara post-festival market?</t>
  </si>
  <si>
    <t>The first local market held immediately after the Masaala festival.</t>
  </si>
  <si>
    <t>The Ceecaara represents the first local market held after the Masaala festival [A_Grammar_of_Kambaata_Part_1_Phonology_N.pdf]. This market serves as a major commercial and social gathering following the New Year feasts [A_Grammar_of_Kambaata_Part_1_Phonology_N.pdf]. It facilitates the resumption of normal economic exchange in the region [A_Grammar_of_Kambaata_Part_1_Phonology_N.pdf].</t>
  </si>
  <si>
    <t>Page 207</t>
  </si>
  <si>
    <t>K063</t>
  </si>
  <si>
    <t>Material Culture</t>
  </si>
  <si>
    <t>What is the Kooráanch-u in a rural Kambaata household?</t>
  </si>
  <si>
    <t>A specialized clay pot designed for melting butter.</t>
  </si>
  <si>
    <t>The Kooráanch-u represents a specialized clay pot used for melting butter [A_Grammar_of_Kambaata_Part_1_Phonology_N.pdf]. This pot is essential in Kambaata kitchens for preparing the butter contributions (Buur Wijjuta) [A_Grammar_of_Kambaata_Part_1_Phonology_N.pdf]. It serves as a key tool in traditional food preparation and female hospitality [A_Grammar_of_Kambaata_Part_1_Phonology_N.pdf].</t>
  </si>
  <si>
    <t>Page 421</t>
  </si>
  <si>
    <t>K064</t>
  </si>
  <si>
    <t>What is the Mashsh-áachch in Kambaata kitchens?</t>
  </si>
  <si>
    <t>A curved traditional knife specifically used for processing and slicing enset.</t>
  </si>
  <si>
    <t>The Mashsh-áachch represents a specialized traditional curved knife used for cutting and processing enset [A_Grammar_of_Kambaata_Part_1_Phonology_N.pdf]. It requires extreme care to handle, and cutting enset food (waasa) with it is a test of a woman's skill [A_Grammar_of_Kambaata_Part_1_Phonology_N.pdf]. It is a vital tool for processing the staple enset plant [A_Grammar_of_Kambaata_Part_1_Phonology_N.pdf].</t>
  </si>
  <si>
    <t>Page 120</t>
  </si>
  <si>
    <t>K066</t>
  </si>
  <si>
    <t>Agriculture / Enset Culture</t>
  </si>
  <si>
    <t>What is Waasa in Kambaata agricultural subsistence?</t>
  </si>
  <si>
    <t>The main fermented enset pulp staple food prepared in backyard pits.</t>
  </si>
  <si>
    <t>The Waasa represents fermented pulp of the enset corm [A_Grammar_of_Kambaata_Part_1_Phonology_N.pdf]. It represents the primary staple food derived from enset, fermented in backyard pits [A_Grammar_of_Kambaata_Part_1_Phonology_N.pdf]. It is processed into flatbreads and represents the baseline of food security for Kambaata households [A_Grammar_of_Kambaata_Part_1_Phonology_N.pdf].</t>
  </si>
  <si>
    <t>Page 202, 208, 395, 116</t>
  </si>
  <si>
    <t>K072</t>
  </si>
  <si>
    <t>Who is the Serecho (Abba Serecho) high priest?</t>
  </si>
  <si>
    <t>The supreme spiritual high priest of the traditional fandaano belief system.</t>
  </si>
  <si>
    <t>The Serecho (High Priest) represents the supreme spiritual high priest of the Kambaata traditional religion [tagesse.2.pdf]. He led the traditional administration and possessed immense spiritual authority over the people [tagesse.2.pdf]. During the New Year, he accepted gifts and sacrifices at Mount Hambaricho and blessed the community [tagesse.2.pdf].</t>
  </si>
  <si>
    <t>Page 100-101</t>
  </si>
  <si>
    <t>K073</t>
  </si>
  <si>
    <t>What is the Mägänancho (Maganancho) high priest?</t>
  </si>
  <si>
    <t>The general term for a fandaano traditional religious high priest.</t>
  </si>
  <si>
    <t>The Mägänancho represents the general term for a traditional fandaano religious high priest [tagesse.2.pdf]. Believed to possess special spirit possession and wisdom revealed directly by the sky god (Wa'a) [tagesse.2.pdf]. They conducted sacred rituals, sacrifice healings, and soothsaying at ancestral mountain shrines [tagesse.2.pdf].</t>
  </si>
  <si>
    <t>K074</t>
  </si>
  <si>
    <t>Who is the Anjaancho in neighboring Hadiya traditional beliefs?</t>
  </si>
  <si>
    <t>The supreme traditional high priest of the Hadiya people.</t>
  </si>
  <si>
    <t>The Anjaancho represents the traditional spiritual leader of the Hadiya people [tagesse.2.pdf]. He performed sacred sacrifice healings and served as the high priest of traditional beliefs [tagesse.2.pdf]. He possessed similar administrative and legal authority to the Kambaata Mägänancho [tagesse.2.pdf].</t>
  </si>
  <si>
    <t>Page 100</t>
  </si>
  <si>
    <t>K075</t>
  </si>
  <si>
    <t>Who are the Awanaano in the fandaano faith?</t>
  </si>
  <si>
    <t>The lay masses and followers of the traditional fandaano priests.</t>
  </si>
  <si>
    <t>The Awanaano represent the lay followers of the Kambaata traditional fandaano religion [tagesse.2.pdf]. They sought prayers, healing, and guidance from the spiritual high priests (Mägänancho) [tagesse.2.pdf]. They participated in annual pilgrimages, presenting gifts and sacrifices to deified ancestral spirits [tagesse.2.pdf].</t>
  </si>
  <si>
    <t>K076</t>
  </si>
  <si>
    <t>What is the Ĉophisha grave ritual?</t>
  </si>
  <si>
    <t>Traditional ritual sacrifices of food and drinks offered on ancestral graves.</t>
  </si>
  <si>
    <t>The Ĉophisha represents traditional ritual sacrifices offered on the graves of ancestors [tagesse.2.pdf]. Fandaano followers presented these gifts of food and drinks to deified ancestral spirits [tagesse.2.pdf]. This ritual was conducted to maintain connection between the living and the dead [tagesse.2.pdf].</t>
  </si>
  <si>
    <t>Page 101</t>
  </si>
  <si>
    <t>K077</t>
  </si>
  <si>
    <t>What is the Boroodimma chanting praise ritual?</t>
  </si>
  <si>
    <t>A traditional praise ritual where names of fandaano spirits are chanted.</t>
  </si>
  <si>
    <t>The Boroodimma represents a fandaano praise ritual where names of spirits are chanted [tagesse.2.pdf]. Led by the high priest, followers held sacred grass (Sada) and performed traditional movements [tagesse.2.pdf]. It was conducted to appease the spirits and ensure a blessed year [tagesse.2.pdf].</t>
  </si>
  <si>
    <t>K078</t>
  </si>
  <si>
    <t>What is the Xibaasima traditional prayer?</t>
  </si>
  <si>
    <t>Traditional ritual prayers conducted under big trees to request blessings.</t>
  </si>
  <si>
    <t>The Xibaasima represents a traditional fandaano ritual prayer for blessings [tagesse.2.pdf]. Conducted by spiritual leaders under big sacred trees to request health, fertility, and excellent crop harvests [tagesse.2.pdf]. It was believed to protect followers from bad spirits and shape their destiny [tagesse.2.pdf].</t>
  </si>
  <si>
    <t>K079</t>
  </si>
  <si>
    <t>Who is the Jaara personal protecting spirit in fandaano?</t>
  </si>
  <si>
    <t>A personal protecting spirit possessed by every fandaano member.</t>
  </si>
  <si>
    <t>The Jaara represents a highly respected protecting spirit in fandaano traditional beliefs [tagesse.2.pdf]. Every fandaano member possessed their own personal Jaara, which required constant appeasing with first ripened fruits [tagesse.2.pdf]. If angered, Jaara was believed to inflict diseases and calamities on the family [tagesse.2.pdf].</t>
  </si>
  <si>
    <t>K080</t>
  </si>
  <si>
    <t>What is the Woxxa (Wole) spirit in fandaano?</t>
  </si>
  <si>
    <t>The traditional female spirit believed to protect women during pregnancy and childbirth.</t>
  </si>
  <si>
    <t>The Woxxa (Wole) represents the traditional protecting spirit of women in fandaano religion [tagesse.2.pdf]. Women prayed and offered secret sacrifices to this spirit to ensure fertility and safe childbearing [tagesse.2.pdf]. It was highly respected and maintained a separate ritual sphere from male fandaano spirits [tagesse.2.pdf].</t>
  </si>
  <si>
    <t>K082</t>
  </si>
  <si>
    <t>What is the Wogana (Xibana) cattle counting ceremony?</t>
  </si>
  <si>
    <t>A grand celebratory feast organized when a breeder's cattle reaches one hundred.</t>
  </si>
  <si>
    <t>The Wogana (Xibana) represents a grand celebratory ceremony for counting a man's cattle [tagesse.2.pdf]. Arranged when a cattle breeder's livestock reaches one hundred for the first time [tagesse.2.pdf]. It involves a multi-day feast, river counting, and elders' blessings for outstanding wealth [tagesse.2.pdf].</t>
  </si>
  <si>
    <t>Page 62</t>
  </si>
  <si>
    <t>K083</t>
  </si>
  <si>
    <t>What is the honorary title of Kumaamo?</t>
  </si>
  <si>
    <t>The highly respected title given to a man who achieves one hundred cattle.</t>
  </si>
  <si>
    <t>The Kumaamo represents an honorary title given to a Kambaata man who owns one hundred cattle [tagesse.2.pdf]. Achieved through the Wogana counting ceremony, it represents the highest economic honor in pastoral-agricultural life [tagesse.2.pdf]. It grants the recipient high social esteem, priority in seating, and the right to make public prayers [tagesse.2.pdf].</t>
  </si>
  <si>
    <t>Page 63</t>
  </si>
  <si>
    <t>K084</t>
  </si>
  <si>
    <t>Who is the Lassancho (Lessaancho) in Kambaata funerary custom?</t>
  </si>
  <si>
    <t>A traditional obituary dispatcher dressed as a warrior to spread funeral notices.</t>
  </si>
  <si>
    <t>The Lassancho represents a traditional obituary dispatcher who travels to announce a death [tagesse.2.pdf]. He travels to distant places dressed as a warrior, singing funeral poems to notify relatives and friends [tagesse.2.pdf]. He announces the deceased's virtues and specifies the date of the upcoming burial [tagesse.2.pdf].</t>
  </si>
  <si>
    <t>Page 95</t>
  </si>
  <si>
    <t>K085</t>
  </si>
  <si>
    <t>What is the Farsanno horse riding treat?</t>
  </si>
  <si>
    <t>A traditional war-like equestrian performance displayed during funerals.</t>
  </si>
  <si>
    <t>The Farsanno represents a traditional horse riding treat performed during a prominent funeral ceremony [tagesse.2.pdf]. Warriors ride horses, carry spears, and perform mock-battle moves following the beat of the big drums (Negarita) [tagesse.2.pdf]. It is performed to honor the deceased's bravery and wealth [tagesse.2.pdf].</t>
  </si>
  <si>
    <t>Page 96</t>
  </si>
  <si>
    <t>K086</t>
  </si>
  <si>
    <t>War &amp; Conflict</t>
  </si>
  <si>
    <t>What is Olla (Oola) in traditional Kambaata history?</t>
  </si>
  <si>
    <t>Traditional warfare or border skirmishes between neighboring clans.</t>
  </si>
  <si>
    <t>The Olla (Oola) represents traditional warfare or conflict between neighboring clans [tagesse.2.pdf]. Historically fought over grazing lands, water resources, or cattle robbery [tagesse.2.pdf]. These conflicts were resolved using traditional mediation and peace-making oaths [tagesse.2.pdf].</t>
  </si>
  <si>
    <t>Page 46</t>
  </si>
  <si>
    <t>K087</t>
  </si>
  <si>
    <t>What is the Wo'e Olla border conflict in regional history?</t>
  </si>
  <si>
    <t>A water war fought over the Satame river resources between Hadiya and Ŝämbaro.</t>
  </si>
  <si>
    <t>The Wo'e Olla represents a specific historical water war fought over Satame river resources [tagesse.2.pdf]. It escalated when a Hadiya girl named Sinŝo was kidnapped by a Ŝämbaro warrior [tagesse.2.pdf]. The conflict escalated into a major border battle between the Hadiya and Ŝämbaro [tagesse.2.pdf].</t>
  </si>
  <si>
    <t>K088</t>
  </si>
  <si>
    <t>What is the historical battle of Garbichi Oola?</t>
  </si>
  <si>
    <t>A historical land battle fought at Garbicho between the Hadiya and Ŝämbaro.</t>
  </si>
  <si>
    <t>The Garbichi Oola represents a historical battle between the Hadiya and Ŝämbaro [tagesse.2.pdf]. Fought at Garbicho when Hadiya forces attempted to expel Ŝämbaro settlers from grazing areas [tagesse.2.pdf]. The war resulted in heavy casualties before traditional reconciliation was achieved [tagesse.2.pdf].</t>
  </si>
  <si>
    <t>K090</t>
  </si>
  <si>
    <t>What was the historical administrative center of Anna?</t>
  </si>
  <si>
    <t>A prominent political hub where Däjach Wodajo and neftegna gunmen forces ruled.</t>
  </si>
  <si>
    <t>The Anna represents a prominent historical political center where Däjach Wodajo ruled [tagesse.2.pdf]. Established after the Imperial conquest, it served as the administrative center for the gunmen forces (neftegna) [tagesse.2.pdf]. It was a key tax collection center where the local population delivered tributes [tagesse.2.pdf].</t>
  </si>
  <si>
    <t>Page 24</t>
  </si>
  <si>
    <t>K091</t>
  </si>
  <si>
    <t>What is the historical significance of the Hadero area?</t>
  </si>
  <si>
    <t>A geographic region known for preserving customary assemblies like Reeda.</t>
  </si>
  <si>
    <t>The Hadero represents a geographical area in Kambaata known for preserving traditional administration [tagesse.2.pdf]. Customary assemblies like Reeda/Kokata remained highly active here to resolve communal conflicts [tagesse.2.pdf]. It represents a stronghold of traditional Kambaata cultural practices [tagesse.2.pdf].</t>
  </si>
  <si>
    <t>K092</t>
  </si>
  <si>
    <t>What is the significance of the Qachabira region?</t>
  </si>
  <si>
    <t>An administrative area in Kambaata where traditional customary elders remain active.</t>
  </si>
  <si>
    <t>The Qachabira represents a geographic area where traditional elder assemblies remain active [tagesse.2.pdf]. It is historically significant for preserving customary codes of conduct and traditional marriage practices [tagesse.2.pdf]. Elders here still manage custom-based conflict resolutions [tagesse.2.pdf].</t>
  </si>
  <si>
    <t>K095</t>
  </si>
  <si>
    <t>Geography</t>
  </si>
  <si>
    <t>What is the rural village of Garba?</t>
  </si>
  <si>
    <t>A Kambaata village near Durame significant for linguistic and name-taboo research.</t>
  </si>
  <si>
    <t>The Garba represents a rural Kambaata village near Duuraame [A_Grammar_of_Kambaata_Part_1_Phonology_N.pdf]. Highly significant for research on Kambaata grammar and the taboo vocabulary of married women [A_Grammar_of_Kambaata_Part_1_Phonology_N.pdf]. It preserves traditional oral narratives and ancestral histories [A_Grammar_of_Kambaata_Part_1_Phonology_N.pdf].</t>
  </si>
  <si>
    <t>Page 325, 419</t>
  </si>
  <si>
    <t>K097</t>
  </si>
  <si>
    <t>What is the village of Mishigida?</t>
  </si>
  <si>
    <t>A traditional village near Durame key for name-taboo and enset processing studies.</t>
  </si>
  <si>
    <t>The Mishigida represents a traditional village near Duuraame [A_Grammar_of_Kambaata_Part_1_Phonology_N.pdf]. It represents a key location for cultural studies on Kambaata name taboo customs and enset processing [A_Grammar_of_Kambaata_Part_1_Phonology_N.pdf]. The village holds strong oral traditions of the founding clans [A_Grammar_of_Kambaata_Part_1_Phonology_N.pdf].</t>
  </si>
  <si>
    <t>Page 112</t>
  </si>
  <si>
    <t>K098</t>
  </si>
  <si>
    <t>What is the rural village of Denekka Bonaamu?</t>
  </si>
  <si>
    <t>A settlement near Durame crucial for research on rural scattered farming systems.</t>
  </si>
  <si>
    <t>The Denekka Bonaamu represents a rural village located near Duuraame [A_Grammar_of_Kambaata_Part_1_Phonology_N.pdf]. Highly significant for studying traditional scattered settlement patterns and agricultural economy [A_Grammar_of_Kambaata_Part_1_Phonology_N.pdf]. It preserves historical oral narratives told by village elders [A_Grammar_of_Kambaata_Part_1_Phonology_N.pdf].</t>
  </si>
  <si>
    <t>Page 12</t>
  </si>
  <si>
    <t>K100</t>
  </si>
  <si>
    <t>What is Mount Shonkolo (Shonkolla) in neighboring Hadiya geography?</t>
  </si>
  <si>
    <t>The central landmark and spiritual mountain of the neighboring Hadiya people.</t>
  </si>
  <si>
    <t>The Shonkolo Mountain represents a highly respected landmark and spiritual reference point for the Hadiya people [tagesse.2.pdf]. It served as the central assembly site where land was divided among Hadiya groups [tagesse.2.pdf]. Spiritual leaders (hazulmanchos) accepted annual gifts and sacrifices at its summit [tagesse.2.pdf].</t>
  </si>
  <si>
    <t>Row</t>
  </si>
  <si>
    <t>Item Text
(auto)</t>
  </si>
  <si>
    <t>Domain
(auto)</t>
  </si>
  <si>
    <t>Model Tested</t>
  </si>
  <si>
    <t>Date Tested</t>
  </si>
  <si>
    <t>Raw Response
(paste unedited)</t>
  </si>
  <si>
    <t>Accuracy
(0-4)</t>
  </si>
  <si>
    <t>Fabrication
(None/Minor/Severe)</t>
  </si>
  <si>
    <t>Narrative
Substitution (0-3)</t>
  </si>
  <si>
    <t>Substitution Type</t>
  </si>
  <si>
    <t>Geography
Conflation (Y/N)</t>
  </si>
  <si>
    <t>Informant
Reviewed (Y/N)</t>
  </si>
  <si>
    <t>Coder Notes</t>
  </si>
  <si>
    <t>ChatGPT</t>
  </si>
  <si>
    <t>The Woma is the traditional spiritual/religious leader in Kambaata culture, responsible for religious rituals, blessings, and maintaining cultural traditions.</t>
  </si>
  <si>
    <t>severe</t>
  </si>
  <si>
    <t>N</t>
  </si>
  <si>
    <t>Gemini</t>
  </si>
  <si>
    <t>In Kambaata history and culture, the Woma is the traditional king or supreme monarch.  Historically, the Woma held political, judicial, and ceremonial authority over the Kambaata Kingdom, residing at the historic center around Mount Hambaricho. Noted historical figures who held this title include King Hamlmal (Hamo) and King Delbato Degoye.</t>
  </si>
  <si>
    <t>none</t>
  </si>
  <si>
    <t>Claude</t>
  </si>
  <si>
    <t>In Kambaata culture, the Woma is the title of the traditional king — the Kingdom of Kambaata was ruled by a long line of kings known as Woma. The title carried legitimacy through ancestral spirits (ayyana) and communal consensus, with authority spanning judicial, military, and ritual domains.</t>
  </si>
  <si>
    <t>DeepSeek</t>
  </si>
  <si>
    <t>Woma = divine king of the Kambaata.
Top religious-political leader, rainmaker, lived on Mount Hambaricho. Last king: Woma Delbato Degoye, killed during Menelik's expansion (late 1800s).</t>
  </si>
  <si>
    <t>Minor</t>
  </si>
  <si>
    <t>Abba Serecho (Abba Sarecho) is a traditional religious leader in Kambaata culture, associated with conducting rituals and serving as a spiritual authority within the community.</t>
  </si>
  <si>
    <t>None</t>
  </si>
  <si>
    <t>In Kambaata tradition, Abba Serecho (Abba Sarecho) was the revered hereditary high priest and spiritual leader centered on Mount Hambaricho. Possessing authority in traditional belief, he presided over annual sacred rituals, communal gatherings, and cultural festivals like Masqala.</t>
  </si>
  <si>
    <t>Injects Ethiopian Orthodox Meskel festival framing</t>
  </si>
  <si>
    <t>Abba Sarecho is described as the traditional god of the Kambaata people, said to have resided at Hambaricho Mountain alongside the king. The king (Woma) and Abba Sarecho, the god of Kambaata, lived at Hambaricho Mountain, where the Kambaata people used to celebrate their annual Gifata festival.</t>
  </si>
  <si>
    <t>Severe</t>
  </si>
  <si>
    <t>ased on the available information, Abba Sarecho (also spelled Abba Serecho) is described as the god of the Kambaata people . Traditionally, the king and this god were both believed to reside on Mount Ambarcho, a significant landmark for the Kambaata .</t>
  </si>
  <si>
    <t>Fandaano is a traditional Kambaata cultural/religious practice or ceremony, generally associated with community rituals, blessings, and spiritual traditions.</t>
  </si>
  <si>
    <t>Fandaano is the traditional, indigenous religion and belief system of the Kambaata people, centered on the worship of a single supreme God, Magano. Its sacred rituals and spiritual practices are overseen by the hereditary supreme priest known as the Abba Serecho.</t>
  </si>
  <si>
    <t>Fandaano (Fandaanano) is a syncretic traditional religious and socio-cultural system that originated among the Hadiyya people and spread to neighboring groups, including the Kambaata. It refers broadly to the traditional Hadiyya way of life and, more narrowly, to their indigenous Cushitic folk religion, blending elements of Christianity, Islam, and indigenous beliefs, and it functioned as a comprehensive system shaping social norms, law, and custom until it largely collapsed by the 1970s. Among the Kambaata specifically, it appears as one of the Islamic-influenced elements introduced through Hadiya contact, though Islam itself remained marginal among the Kambaata.</t>
  </si>
  <si>
    <t>Fandaano is primarily the traditional socio-religious system of the neighboring Hadiyya people, not originally a Kambaata practice . However, it did spread to and influence groups like the Kambaata before largely collapsing in the 1970s .</t>
  </si>
  <si>
    <t>The Kambata customary code of conduct called “Sera” was institutionalised by King Dilbato.</t>
  </si>
  <si>
    <t>King Dilbato institutionalised the customary code known as the Dilbato Seera (or simply Seera).
This legal framework established formal social, political, and economic rights to promote peaceful coexistence among the various Kambaata clans and structured local governance down to community levels (Hera).</t>
  </si>
  <si>
    <t>Search results don't clearly identify a specific code attributed to King Dilbato — I found his role as the last Kambaata king (Woma Dilbato Degoye, killed by Menelik II's forces), but nothing confirming a named legal code he institutionalized. I don't have a reliable source for that specific claim.</t>
  </si>
  <si>
    <t>King Dilbato institutionalized the customary code of conduct known as Seera, which serves as the traditional normative framework regulating social relations, conflict resolution, and community life in Kambaata society. He also issued new decrees and political reforms, which included land distribution to the commoner class (Kontoma) to resolve social unrest.</t>
  </si>
  <si>
    <t>Onna-Sera is the traditional Kambaata customary law and code of conduct governing social life, relationships, and community behavior.</t>
  </si>
  <si>
    <t>In Kambaata village culture, Onna-Sera refers to the household or neighborhood-level customary code of conduct. Derived from the overarching Dilbato Seera, it regulates daily social relations, domestic duties, mutual assistance, and localized dispute resolution among neighboring families within a village.</t>
  </si>
  <si>
    <t xml:space="preserve">I couldn't find reliable results on "Onna-Sera" in Kambaata culture — nothing in the sources confirms this term or its meaning. I don't want to guess at something this specific.
</t>
  </si>
  <si>
    <t>I could not find a specific reference to "Onna-Sera" in the available search results. The term "Sera" in Kambaata culture refers to a customary code of conduct or covenant that binds a community, with "Dilbato Sera" being a famous example instituted by King Dilbato .</t>
  </si>
  <si>
    <t>Mini-Sera is a Kambaata customary rule governing marriage and family-related matters, including proper conduct between spouses and families.</t>
  </si>
  <si>
    <t>In Kambaata culture, Mini-Sera literally translates to the "law of the house" or household-level customary code.
It governs internal domestic affairs—such as marital relations, child rearing, inheritance, and household labor division—ensuring that family units maintain order in alignment with broader community-level (Onna-Sera) and societal laws (Dilbato Seera).</t>
  </si>
  <si>
    <t>No reliable results for "Mini-Sera" either — nothing in the sources confirms this term. I don't want to guess.</t>
  </si>
  <si>
    <t>I could not find a specific reference to "Mini-Sera" in the available search results. The term "Sera" in Kambaata culture broadly refers to their all-encompassing unwritten code of conduct, with different types existing for specific contexts, such as the "Dilbato Sera" instituted by King Dilbato.</t>
  </si>
  <si>
    <t>Lali-Sera is a Kambaata customary rule concerning land, property, and their use within the community.</t>
  </si>
  <si>
    <t>Lali-Sera is the customary code in Kambaata village life that governs livestock management, communal grazing rights, and agricultural protection. It sets rules to prevent cattle from destroying crops and outlines collective compensation if a neighbor's livestock causes damage.</t>
  </si>
  <si>
    <t>No reliable results for "Lali-Sera" either — nothing confirms this term in Kambaata sources.</t>
  </si>
  <si>
    <t xml:space="preserve">I could not find a specific reference to "Lali-Sera" in the available search results. The term "Sera" in Kambaata culture broadly refers to the all-encompassing unwritten code of conduct, with different types existing for specific contexts, such as the "Dilbato Sera" instituted by King Dilbato .
</t>
  </si>
  <si>
    <t>Huje-Sera is a Kambaata customary rule concerning agricultural work and cooperation, especially communal labor and farming practices.</t>
  </si>
  <si>
    <t>Huje-Sera is the traditional customary system governing labor and communal work in Kambaata agricultural practice. It organizes cooperative labor-sharing groups for labor-intensive farming tasks like planting, harvesting, and house construction.</t>
  </si>
  <si>
    <t>No reliable results for "Huje-Sera" in the sources I can find — I can't confirm this term exists in Kambaata agricultural practice, so I don't want to guess at it.</t>
  </si>
  <si>
    <t>I could not find a specific reference to "Huje-Sera" in the available search results. The term "Sera" refers to the all-encompassing unwritten code of conduct in Kambaata culture, while agricultural life, including the cultivation of the staple crop weshu (enset), is a central part of the community's socio-economic structure .</t>
  </si>
  <si>
    <t>Ilami-Sera is a Kambaata customary rule governing kinship, family relationships, and obligations among relatives.</t>
  </si>
  <si>
    <t>Ilami-Sera refers to the clan-level customary law in Kambaata culture that governs kinship obligations, lineage ties, and mutual social protection. Managed by clan leaders (Ilami Daanna), it protects clan interests, enforces moral standards, and oversees internal dispute resolution and reconciliation.</t>
  </si>
  <si>
    <t>This one does turn up: Ilami sera is one of the clan-based associations in Kambaata society, carrying political weight and legitimacy derived from ancestral spiritual authority. Each clan maintains a sera association, and the ilami sera specifically carries political weight and legitimacy derived from ancestral spiritual authority, distinct from the hera association, which focuses on burial rites, economic support, and cross-clan solidarity</t>
  </si>
  <si>
    <t>I could not find a specific reference to "Ilami-Sera" in the available search results. The term "Sera" is the all-encompassing unwritten code of conduct in Kambaata culture, while "ilami ya'a/ilami dama" refers to legal sessions of lineage elders .</t>
  </si>
  <si>
    <t>The Kokata is a traditional Kambaata administrative/local governance unit, where community affairs and customary matters are organized and managed.</t>
  </si>
  <si>
    <t>In Kambaata traditional administration, Kokata refers to the supreme council or assembly of clan leaders. It represents the highest traditional authority and federate unification of the Kambaata clans for governance, alliances, and community-wide decision-making.</t>
  </si>
  <si>
    <t>No reliable results confirming "Kokata" as a term in Kambaata traditional administration — nothing in the sources supports this. I don't want to guess.</t>
  </si>
  <si>
    <t>The Kokata arena is the highest-level assembly for resolving serious violations that affect other Heeras or the wider community. Cases that are too important for lower Heera councils are brought upward to this assembly.</t>
  </si>
  <si>
    <t>Masaala is a celebrated annual Kambaata festival representing peace, unity, reconciliation, and thanksgiving within the community.</t>
  </si>
  <si>
    <t>In Kambaata culture, the annual Masaala festival represents the celebration of the Kambaata New Year, ushering in the harvest season and marking the end of the heavy rains. It serves as a supreme symbol of cultural unity, social reconciliation, and family reunions, traditionally celebrated with communal feasts, music, and spiritual thanksgiving.</t>
  </si>
  <si>
    <t>It's referenced as a real Kambaata festival, but the source only confirms it's discussed as part of cultural change (names, invitations, globalization) — not what it actually represents or celebrates. I can't confirm its meaning or significance from what I found, so I won't guess.</t>
  </si>
  <si>
    <t>The Masaala festival is an annual religious holiday held in September that corresponds to the Ethiopian celebration of Meskel (the finding of the True Cross). It involves traditional rituals like specific blessings for the country and for sacrificed oxen, and is marked by special songs.</t>
  </si>
  <si>
    <t>Reframed as Ethiopian Orthodox Meskel (True Cross) holiday</t>
  </si>
  <si>
    <t>Geja is a traditional Kambaata system of collective agricultural labor, where community members cooperate to complete farming tasks.</t>
  </si>
  <si>
    <t>Geja (also known as Gezimma) is a traditional labor-sharing association in Kambaata agricultural practice where farmers form cooperative work groups to help each other with heavy field tasks like ploughing, weeding, and harvesting on a rotating basis. These reciprocal work sessions are often accompanied by traditional cultural work songs (Drancha) that recount lineage history and heroic heritage while boosting community morale.</t>
  </si>
  <si>
    <t>No reliable results confirming "Geja" in Kambaata agricultural cooperation — nothing in these sources supports that term. I don't want to guess.</t>
  </si>
  <si>
    <t>Based on the available search results, I could not find a specific reference to "Geja" as a term for agricultural cooperation in Kambaata culture. However, traditional practices like agroforestry and crop rotation are widely used in Kambaata farming to sustain soil fertility and improve production .</t>
  </si>
  <si>
    <t>Gezimma is a traditional Kambaata practice of collective agricultural work, where people cooperate to help one another with farming tasks.</t>
  </si>
  <si>
    <t>Gezimma is a traditional labor-sharing arrangement in Kambaata agricultural practice where neighboring farmers pool their efforts to complete labor-intensive tasks like ploughing, weeding, and harvesting. Members rotate through each participant's fields, providing reciprocal help while reinforcing community bonds through shared meals and work songs.</t>
  </si>
  <si>
    <t>No reliable results for "Gezimma" in Kambaata farming practice either — I can't confirm this term exists in the sources available to me, so I won't guess at it.</t>
  </si>
  <si>
    <t>Based on the available search results, I could not find a specific definition for "Gezimma" as a standalone farming practice. The term appears as part of the name for the local NGO KMG (Kembatti Mentti-Gezimma-Tope), which translates to "women of Kembata working together," but its specific agricultural meaning is not detailed .</t>
  </si>
  <si>
    <t>Dawa is a traditional Kambaata system of reciprocal communal labor, where people work together and help one another with agricultural tasks.</t>
  </si>
  <si>
    <t>In Kambaata cooperative labor, Dawa is a large-scale work party summoned by a household when facing heavy agricultural or construction tasks, such as clearing land, harvesting crops, or roofing a home. Unlike rotational systems, participants do not expect a direct return of labor; instead, the host family provides hearty food and drink to thank the working group for their collective support.</t>
  </si>
  <si>
    <t>No reliable results confirming "Dawa" as a term in Kambaata cooperative labor — I can't verify this one either, so I won't guess.</t>
  </si>
  <si>
    <t>Dawa is one of the traditional cooperative labor associations among the Kambaata, alongside geja, gezimma, and wijjo. These groups are formed because individuals recognize they cannot solve economic problems alone and need their community to overcome challenges.</t>
  </si>
  <si>
    <t>Wijjo is a traditional Kambaata women’s mutual-support and cooperative system, involving women helping one another in household and community activities.</t>
  </si>
  <si>
    <t>Wijjo is an exclusive traditional association of women in Kambaata culture formed to support one another through mutual assistance and collective milk sharing. In this rotation system, participating families pool their daily milk yield and distribute the combined total to one family at a time, ensuring each household periodically receives a substantial quantity of milk.</t>
  </si>
  <si>
    <t>No reliable results for "Wijjo" in Kambaata women's culture — I can't confirm this term exists in the sources available to me, so I won't guess at it.</t>
  </si>
  <si>
    <t>Wijjo is a cooperative labor association in Kambaata culture, alongside geja, gezimma, and dawa, formed so individuals can overcome economic challenges together. I could not find specific details in the search results about wijjo being exclusively for women, but women's associations like geja are known to organize enset farming activities.</t>
  </si>
  <si>
    <t>Seri Dana (Hera Dana) is a traditional Kambaata judge or customary-law authority who helps settle disputes and enforce customary laws.</t>
  </si>
  <si>
    <t>The Seri Dana (or Hera Dana) is the democratically elected leader or elder responsible for administering Sera (customary law) within a Kambaata village or territorial unit. They maintain community order by resolving local non-kinship disputes, overseeing communal events like burial ceremonies, and enforcing social sanctions when customary laws are breached.</t>
  </si>
  <si>
    <t>No reliable results confirming "Seri Dana" or "Hera Dana" in Kambaata customary law — I can't verify this term, so I won't guess at it.</t>
  </si>
  <si>
    <t>The Seri Dana appears to be synonymous with the Hera Dana, a leader within the Kambaata legal structure . They are appointed to conduct a full inquiry into serious disputes that cannot be settled by the larger community assembly .</t>
  </si>
  <si>
    <t>Yaayya (Yaayyu) is a traditional Kambaata customary sanction or penalty imposed for violating community rules or customary law.</t>
  </si>
  <si>
    <t>In Kambaata customary sanctions under Sera, Yaayya (or Yaayyu) refers to the ultimate punishment of total social boycott, exclusion, and ostracism imposed on an uncooperative offender. Under this sanction, community members are strictly forbidden from speaking to, assisting, or trading with the wrongdoer until they formally seek pardon and pay their required fines.</t>
  </si>
  <si>
    <t>No reliable results confirming "Yaayya" or "Yaayyu" as a term in Kambaata customary sanctions — I can't verify this one either.</t>
  </si>
  <si>
    <t>Based on the available search results, I could not find a specific reference to "Yaayya" or "Yaayyu" as a customary sanction. However, "Heera" is mentioned as one of the community-based welfare organizations and is among the sera (customary law) institutions that are central to Kambaata society, including the Seera which distributes land and governs social life .</t>
  </si>
  <si>
    <t>Ittansu is a traditional Kambaata conflict-resolution process in which disputes are settled through discussion, mediation, reconciliation, and restoring peace between the parties.</t>
  </si>
  <si>
    <t>In Kambaata customary law, Ittansu refers to the crucial final reconciliation phase of the traditional conflict-resolution process, signifying the restoration of peace and unity. During this ritual, the conflicting parties perform symbolic acts of mutual forgiveness—such as sharing a communal meal or drink—to erase lingering animosity and formally readmit offenders into the community.</t>
  </si>
  <si>
    <t>Substitutes attested kissing reconciliation act with generic shared meal/drink</t>
  </si>
  <si>
    <t>No reliable results confirming "Ittansu" as a Kambaata conflict-resolution term — I can't verify this one, so I won't guess.</t>
  </si>
  <si>
    <t xml:space="preserve">Based on the available search results, I could not find a specific reference to "Ittansu" as a conflict-resolution process in Kambaata culture. The search results do, however, detail several other established institutions, such as Reeda, Gogotta, and Kookaata, which handle disputes through hierarchical elder councils and negotiation .
</t>
  </si>
  <si>
    <t>Geda is a traditional Kambaata funeral mourning and burial ceremony, involving communal participation, rituals, and honoring the deceased.</t>
  </si>
  <si>
    <t>In traditional Kambaata funeral services, Geda is a specialized mourning ritual and heroic performance performed exclusively to honor deceased men who achieved notable deeds or high status in the community. During the rite, mourners dress as traditional warriors, ride horses, and carry spears to recount the deceased's bravery, heroic feats, and contributions to society.</t>
  </si>
  <si>
    <t>This one turns up: Geda refers to a death ceremony held for men who performed heroic deeds. Dances accompany rituals and festivals, such as the geda death ceremony for men of heroic deeds, involving songs and performances to honor the deceased. 
Grokipedia
Same caveat as before — this comes from Grokipedia, an AI-generated source, so I'd treat it as a lead rather than settled fact.</t>
  </si>
  <si>
    <t>Based on the available search results, I could not find a specific reference to "Geda" as a term in Kambaata funeral services. The search results focus on the funeral traditions of the Kamba people of Kenya, which are a distinct ethnic group from the Kambaata of Ethiopia.</t>
  </si>
  <si>
    <t>Qorsishsha is a traditional Kambaata marriage practice involving the formal arrangement and preparation for marriage, including the families’ participation and agreement.</t>
  </si>
  <si>
    <t>Qorsishsha is the traditional form of arranged marriage in Kambaata culture, initiated and organized primarily by the parents and elders of the bride and groom. It involves extensive formal negotiations, assessing clan compatibility up to seven generations to prevent blood relation, and evaluating socio-economic status to establish strong alliances between families.</t>
  </si>
  <si>
    <t>Qorsishsha refers to arranged marriage in Kambaata culture. Marriage serves as a rite of passage to adulthood, with multiple forms including arranged marriage (qorsishsha), where parents select partners based on wealth, status, and patrilineal compatibility spanning up to seven generations to avoid kinship ties. This is distinct from love-based marriage (heranchcha) and abduction marriage (midu), which were also documented forms.</t>
  </si>
  <si>
    <t>Based on the available search results, I could not find a specific definition for "Qorsishsha" as a term in Kambaata marriage practices. However, the same source describes "qorsishsha" as the formal type of marriage that is based heavily on wealth, clan belongingness, and social status rather than on love or the couple's personal choice .</t>
  </si>
  <si>
    <t>Laabito is a Kambaata marriage type based on the mutual consent of the couple, with both partners taking the leading role in arranging the marriage.</t>
  </si>
  <si>
    <t>In Kambaata marriage practices, Laabito refers to the groom’s male entourage and lineage representatives who conduct the formal marital negotiations on behalf of his clan. This delegation is responsible for presenting marriage proposals, negotiating bride-wealth with the bride's elders, and ensuring that all traditional lineage protocols are properly honored.</t>
  </si>
  <si>
    <t>No reliable results confirming "Laabito" as a term in Kambaata marriage practices — I can't verify this one.</t>
  </si>
  <si>
    <t>Based on the available search results, I could not find a specific definition for "Laabito" as a term in Kambaata marriage practices. The search results primarily describe formal marriage (qorsishsha), informal marriage (heranchcha), and abduction (midu), but do not mention "Laabito" .</t>
  </si>
  <si>
    <t>Heerato is a traditional Kambaata marriage type in which the bride is abducted/eloped with, followed by customary procedures to formalize the marriage.</t>
  </si>
  <si>
    <t>In Kambaata marriage practices, Heerato (or Herato) refers to marriage by abduction, where a suitor forcefully takes a woman without prior agreement from her or her parents. It is traditionally resorted to when a man cannot afford high bride-price expenses, faces rejection from the girl's family, or seeks to bypass formal negotiation protocols.</t>
  </si>
  <si>
    <t>No confirmation of "Heerato" specifically — this is likely just a variant spelling of "heranchcha" (love-based marriage) I found earlier, but I can't confirm that connection with confidence. I don't want to guess at the exact term.</t>
  </si>
  <si>
    <t>Based on the available search results, I could not find a specific reference to "Heerato" as a term in Kambaata marriage practices. The search results describe formal marriage (qorsishsha), informal marriage (heranchcha), and abduction (midu), but do not mention "Heerato".</t>
  </si>
  <si>
    <t>Bolocha (Bollochcha) is a traditional Kambaata wedding celebration/ceremony, marking the formal union of the bride and groom and involving family and community participation.</t>
  </si>
  <si>
    <t>In Kambaata culture, Bolocha (or Bollochcha) is the grand ceremonial wedding, representing the most prestigious and formal type of marriage conducted with full parental consent and lineage approval. It involves elaborate traditional rites, negotiations by elders, formal bride-price exchanges, and extensive public feasts that unite the two participating clans.</t>
  </si>
  <si>
    <t>No reliable results confirming "Bolocha" or "Bollochcha" as a Kambaata wedding term — I can't verify this one, so I won't guess.</t>
  </si>
  <si>
    <t>Boloocha (or Bolocha) is the term for the actual wedding ceremony in Kambaata culture, which involves a large feast at both families' homes as a key stage of the three-part wedding process . The name also appears in the phrase "bollochchi shalata," which identifies a type of traditional wedding song sung on the way to the bride's house .</t>
  </si>
  <si>
    <t>Kiiffa is a traditional Kambaata marriage ritual involving the formal transfer or presentation of the bride to the groom’s family.</t>
  </si>
  <si>
    <t>In Kambaata and neighboring Highland East Cushitic cultures, Kiiffa represents the grandest, most elaborate, and most complex traditional wedding ceremony. It functions as a fair-like public celebration characterized by lavish feasts, large community gatherings, and intricate ceremonial rituals that honor the union of two prominent lineages.</t>
  </si>
  <si>
    <t>No reliable results confirming "Kiiffa" as a Kambaata marriage term either — I can't verify this one.</t>
  </si>
  <si>
    <t>I could not find a specific reference to "Kiiffa" in Kambaata marriage rituals from the available search results. The search results describe formal marriage (qorsishsha), informal marriage (heranchcha), and abduction (midu), but do not mention "Kiiffa" as a distinct term .</t>
  </si>
  <si>
    <t>Calalaqa is a traditional Kambaata marriage ceremony/ritual associated with the formalization of the marriage between the two families.</t>
  </si>
  <si>
    <t>In Kambaata marriage customs, Calalaqa refers to the ceremonial unveiling or post-nuptial presentation of the bride following her period of initial seclusion. During this ritual, she emerges in traditional finery to receive gifts, formal integration, and blessings from her husband’s family and community elders.</t>
  </si>
  <si>
    <t>No reliable results confirming "Calalaqa" in Kambaata marriage either — I can't verify this term.</t>
  </si>
  <si>
    <t>I could not find a specific reference to "Calalaqa" in Kambaata marriage practices from the available search results. The search results primarily describe other marriage types, such as formal marriage (qorsishsha), informal marriage (heranchcha), abduction (midu), and the three-stage wedding process of kota, bolocha, and elita tadu, but do not mention "Calalaqa" as a distinct term</t>
  </si>
  <si>
    <t>Hamamota (Sifla) are traditional Kambaata wedding attendants/helpers, who assist the bride and groom and support the families during wedding ceremonies.</t>
  </si>
  <si>
    <t>In Kambaata wedding customs, the Hamamota (or Sifla) refers to the groom's wedding party and escorting entourage. This group accompanies the groom to the bride’s parental home to collect her and safely escort her back to her new home amidst traditional singing, dancing, and celebratory rites.</t>
  </si>
  <si>
    <t>No reliable results confirming "Hamamota" or "Sifla" as Kambaata wedding terms — I can't verify these either.</t>
  </si>
  <si>
    <t>I could not find any specific reference to "Hamamota" or "Sifla" in the context of Kambaata weddings. The search results are primarily about the Kamba people of Kenya, which is a distinct ethnic group from the Kambaata of Ethiopia .</t>
  </si>
  <si>
    <t>Erifo'o are traditional Kambaata return wedding gifts given by the bride’s family to the groom’s family in response to gifts received during the marriage process.</t>
  </si>
  <si>
    <t>In Kambaata marital traditions, Erifo'o refers to the counter-gifts or return dowry presented by the bride's parents to the groom's family and the newlyweds following the formal wedding. These gifts—typically consisting of livestock, household utensils, butter, clothes, and traditional foods—symbolize reciprocal respect between the unifying clans and assist the couple in establishing their new household.</t>
  </si>
  <si>
    <t>No reliable results confirming "Erifo'o" as a Kambaata term for return wedding gifts — I can't verify this one either.</t>
  </si>
  <si>
    <t>I could not find a specific reference to "Erifo'o" return wedding gifts in Kambaata culture from the available search results. The search results primarily describe wedding stages like kota, bolocha, and elita tadu, as well as dowry presentation, but do not mention this specific term for return gifts .</t>
  </si>
  <si>
    <t>Minni-agisha is a traditional Kambaata marriage practice involving the formal arrangement or negotiation of a marriage, particularly between the families of the bride and groom.</t>
  </si>
  <si>
    <t>Minni-agisha (literally "causing to enter the house") is the formal ritual where a bride is officially welcomed into her new home at the groom's compound. Elders and family perform protective rites and offer blessings to integrate her into the household and mark the start of her bridal seclusion.</t>
  </si>
  <si>
    <t>No reliable results confirming "Minni-agisha" as a Kambaata marriage term — I can't verify this one.</t>
  </si>
  <si>
    <t>Based on the available search results, I could not find a specific reference to "Minni-agisha" in Kambaata marriage practices. The search results describe formal marriage (qorsishsha), informal marriage (heranchcha), abduction (midu), and the three-stage wedding process, but do not mention this term.</t>
  </si>
  <si>
    <t>Wobeta (Wobesha) is a traditional Kambaata childbirth ceremony, held to celebrate the birth of a child and formally welcome the newborn into the family and community.</t>
  </si>
  <si>
    <t>In Kambaata culture, Wobeta (or Wobesha) is a traditional childbearing ceremony and post-natal celebration held to honor and care for a mother following childbirth. During this ritual period, female relatives and neighbors gather to present rich foods like butter and bulla porridge, sing celebratory songs, and assist the mother throughout her postpartum recovery.</t>
  </si>
  <si>
    <t>No reliable results confirming "Wobeta" or "Wobesha" as a Kambaata childbearing ceremony — I can't verify this term either.</t>
  </si>
  <si>
    <t xml:space="preserve">I could not find any specific reference to "Wobeta" or "Wobesha" in Kambaata culture from the available search results. The search results primarily describe the birth rituals of the Akamba people of Kenya, who are a distinct ethnic group from the Kambaata of Ethiopia.
</t>
  </si>
  <si>
    <t>Jijiira is a traditional Kambaata childbirth-related ritual, associated with welcoming and caring for the newborn and mother.</t>
  </si>
  <si>
    <t>In Highland East Cushitic cultures like Kambaata and Hadiya, the Jijiira (or Jijira) is a specially crafted traditional bed made of wood and woven ropes by the husband and his friends for the postpartum celebration. Built to mark the completion of the mother's initial recovery period, it serves as the ceremonial seat where the mother and newborn receive food, songs, and communal blessings from visiting elders and neighbors.</t>
  </si>
  <si>
    <t>No reliable results confirming "Jijiira" as a childbearing term — I can't verify this one, so I won't guess.</t>
  </si>
  <si>
    <t>I could not find any specific reference to "Jijiira" as a ceremony in the search results. However, the term appears as the name for a comfortable bedroom prepared by a husband for his pregnant wife before childbirth in Kambaata and Hadiya culture .</t>
  </si>
  <si>
    <t>Amma wotaa (Amma wosha) is traditionally the midwife or woman who assists a mother during childbirth in Kambaata culture.</t>
  </si>
  <si>
    <t>In Kambaata childbearing traditions, the Amma wotaa (or Amma wosha) is the traditional birth attendant and experienced local midwife who assists women during labor and delivery. She is responsible for guiding the childbirth process, administering traditional herbal remedies, and performing critical post-natal care routines to protect the safety of both mother and newborn.</t>
  </si>
  <si>
    <t>No reliable results confirming "Amma wotaa" or "Amma wosha" — I can't verify this term either.</t>
  </si>
  <si>
    <t>I could not find a specific reference to "Amma wotaa" or "Amma wosha" in Kambaata culture from the available search results. The search results primarily describe the birth and naming rituals of the Akamba people of Kenya, who are a distinct ethnic group from the Kambaata of Ethiopia</t>
  </si>
  <si>
    <t>Senga-Qoro are traditional Kambaata local administrative leaders/officials responsible for governing communities and managing local affairs.</t>
  </si>
  <si>
    <t>In Kambaata administrative history, the Senga-Qoro were local administrative officials elected through mutual agreement between the balabbat (local chief/landlord) and the community to govern regional units called gochchu. Serving as crucial intermediaries, they communicated government orders to the public and oversaw lower-level district administrators such as the Chiqa-Shum.</t>
  </si>
  <si>
    <t>No reliable results confirming "Senga-Qoro" as a Kambaata administrative term — I can't verify this one.</t>
  </si>
  <si>
    <t>I could not find any reference to "Senga-Qoro" in Kambaata regional administration. The search results describe the structure of the Kambaata kingdom under the Oyyata dynasty with a king (Woma), noble clans, and a system of governance that included a central committee and councils of elders (bahiru), but do not mention this specific title.</t>
  </si>
  <si>
    <t>Chiqa-Shum is a traditional local administrator/governor, responsible for overseeing local affairs and enforcing customary rules.</t>
  </si>
  <si>
    <t>The Chiqa-Shum (or Chika-Shum) is a traditional village headman and the lowest-level administrative official in historical Ethiopian local governance. Acting as a crucial bridge between local communities and higher district authorities (balabbats), the Chiqa-Shum was responsible for maintaining local order, collecting taxes, and settling minor civil disputes through customary law.</t>
  </si>
  <si>
    <t>Chiqa Shum ("mud chief"/"earth officer," Amharic ጭቃ ሹም) was a low-level, government-confirmed local administrator in the Ethiopian imperial state hierarchy — not specific to the Kambaata, but part of the broader Amhara-derived administrative system extended over southern Ethiopia. The chiqa-shum was a government-confirmed chief of a rural area or village, nominally subordinate to the balabbat, and while having no military or judicial powers, these chiefs held certain official responsibilities. The title was primarily a tax collector role, elected from leading families with hereditary land rights and then appointed by the governor, responsible for allocating tax obligations, lodging travelers, promulgating decrees, and army enlistment — mediating between local people and central political power.</t>
  </si>
  <si>
    <t>The title Chiqa-Shum (or Chikashooma) was a traditional administrative position introduced by the Ethiopian Empire in the Kambaata region, effectively replacing the older gotchi-dana role during the balabat system. This change occurred after the kingdom was annexed, transforming local governance structures until the position was abolished by the 1974 Revolution.</t>
  </si>
  <si>
    <t>Seju Gochu are traditional Kambaata administrative subdivisions, smaller local units used to organize communities and manage local affairs.</t>
  </si>
  <si>
    <t>Seju Gochu (Sajje Gochchu, meaning "thirty provinces") refers to the thirty administrative sub-divisions established in traditional Kambaata governance that radiated outward from Mount Hambaricho, the seat of the Woma (king). Each Gochchu was further divided into districts called Morichu, which were in turn divided into local village communities known as Hera.</t>
  </si>
  <si>
    <t>No reliable results confirming "Seju Gochu" as an administrative term — I can't verify this one.</t>
  </si>
  <si>
    <t>The term Seju Gochu does not appear in the available search results as an administrative subdivision in Kambaata culture. The results describe the kingdom's administrative apparatus under King Dilbatto which sub-divided territory into gocho (counties), but do not mention this specific term .</t>
  </si>
  <si>
    <t>Ballishsha is a traditional Kambaata name taboo, where women avoid directly saying certain names—especially the names of their husband’s senior male relatives—as a sign of respect.</t>
  </si>
  <si>
    <t>Ballishsha is a traditional linguistic and behavioral avoidance custom in Kambaata culture that requires married women to show respect to their parents-in-law. Under this name taboo, a woman must strictly avoid pronouncing the names of her husband's parents—as well as any everyday words starting with the same syllable—using synonyms, paraphrases, or alternative terms instead.</t>
  </si>
  <si>
    <t>Ballishsha is the traditional name-avoidance practice observed by married Kambaata women as a sign of respect toward their in-laws. Under this tradition, now nearing extinction, in-laws' names and any words starting with the same syllable as those names have to be avoided, and married women employ various conventionalized and individual strategies to replace the tabooed words — this reflects the broader ballishsha respect behavior within Kambaata culture.</t>
  </si>
  <si>
    <t>Ballishsha is a name taboo traditionally practiced by married Kambaata women as a sign of respect toward their in-laws . It forbids them from using the in-laws' names or any word that begins with the same syllable as those names, requiring them to find workarounds like synonyms or euphemisms .</t>
  </si>
  <si>
    <t>Gaxa is a traditional Kambaata household/storage structure, used for keeping grain and other agricultural produce.</t>
  </si>
  <si>
    <t>In a traditional Kambaata house, the Gaxa is the main living and sitting section reserved for family gatherings and receiving guests. Positioned near the front entrance, it is typically separated from the internal livestock area (Gadira or Kosha) by a low bamboo partition wall (Sinqixa).</t>
  </si>
  <si>
    <t>No reliable results confirming "Gaxa" as a term for a Kambaata house — I can't verify this one.</t>
  </si>
  <si>
    <t>Based on the available search results, I could not find a specific reference to "Gaxa" as a term for a house component in Kambaata culture. One source provides detailed information on traditional Kambaata house construction and interior organization, mentioning features like the central pillar, specific grass for roofing, and the division of space for animals and kitchens, but does not use the term "Gaxa" .</t>
  </si>
  <si>
    <t>Duma is a traditional Kambaata household structure or living area, associated with the main residential space of the family.</t>
  </si>
  <si>
    <t>In traditional Kambaata housing, the Duma is a designated inner section or private storage space where women store food supplies, cooking utensils, and household provisions. Located beyond the main living area, it serves as a secure domestic pantry that keeps kitchen supplies organized and protected.</t>
  </si>
  <si>
    <t>No reliable results confirming "Duma" as a Kambaata housing term — I can't verify this one either.</t>
  </si>
  <si>
    <t>Based on the available search results, I could not find a specific reference to "Duma" as a term for a house component or housing concept in Kambaata culture. The results mention min-i as the Kambaata word for "house" and describe the settlement system, but do not contain this specific term.</t>
  </si>
  <si>
    <t>Qo'llu is the central supporting pillar of a traditional Kambaata round house, helping support the roof structure.</t>
  </si>
  <si>
    <t>In a traditional Kambaata round house, the Qo'llu is the main central supporting pillar that holds up the apex of the conical thatched roof. Structurally vital, it also serves as a cultural symbol representing the strength and authority of the household head (Mina-abbu).</t>
  </si>
  <si>
    <t>No reliable results confirming "Qo'llu" as a Kambaata house term — I can't verify this one.</t>
  </si>
  <si>
    <t>Based on the available search results, I could not find a specific reference to "Qo'llu" as a term for a component of a traditional Kambaata round house in Ethiopia.
The detailed source on Kambaata house construction mentions components like the central pillar and the wall, but it does not use this term. Other results describe the houses of the Kamba people in Kenya, who are a distinct ethnic group from the Kambaata.</t>
  </si>
  <si>
    <t>They are called “Dula.”</t>
  </si>
  <si>
    <t>In Kambaata, a bull with a white spot or blaze on its forehead is traditionally named Booqe (or Boora), derived from booqimáta, the term for the white forehead marking. Cattle names in Kambaata culture reflect their distinct coat patterns and colorings, with female cows possessing the same white spot named Booyyó.</t>
  </si>
  <si>
    <t>No reliable results confirming a specific term for that — I can't verify this one.</t>
  </si>
  <si>
    <t>Bulls with a white spot on their forehead are given the name Booq-é. For cows with the same marking, the corresponding name is Boovy-ó.</t>
  </si>
  <si>
    <t>The compound color term for “blue” in Kambaata is “gudda-guracha.”</t>
  </si>
  <si>
    <t>In Kambaata, the compound term for "blue" is samayi c'oolimata (or samay-c'oolimata), which literally translates to "sky color." It combines samayuta ("sky") with c'oolimata ("color") to explicitly distinguish blue from other shades.</t>
  </si>
  <si>
    <t>No reliable results confirming a specific compound term for "blue" in Kambaata — I can't verify this one.</t>
  </si>
  <si>
    <t>The specific compound color term for "blue" in Kambaata is not listed in the available search results. The sources discuss color terms in Kambaata, noting that adjectives for colors exist and can be modified with the suffix -lab to indicate a reduced degree like "a bit, almost, fairly" , but they do not provide the actual word for blue.</t>
  </si>
  <si>
    <t>Nuggussa is a traditional Kambaata male circumcision ceremony, marking a boy’s transition into adulthood and his acceptance of adult social responsibilities.</t>
  </si>
  <si>
    <t>In Kambaata tradition, Nuggussa (often associated with the Qeeraa rite) is a formal, prestigious circumcision ceremony where a young man undergoes traditional circumcision accompanied by songs, blessings, and village-wide celebrations. Marking his transition into full adult status, the ritual elevates his standing in the community and accords him senior social honors.</t>
  </si>
  <si>
    <t>No reliable results confirming "Nuggussa" as a Kambaata circumcision ceremony — I can't verify this one.</t>
  </si>
  <si>
    <t>I could not find any specific information on the traditional Nuggussa circumcision ceremony from the available search results. The results primarily describe the initiation rites of the Kamba people of Kenya, who are a distinct ethnic group from the Kambaata of Ethiopia.</t>
  </si>
  <si>
    <t>Bahiru refers to a maternal uncle (mother’s brother) in the Kambaata kinship system.</t>
  </si>
  <si>
    <t>In Kambaata kinship and social structure, Bahiru refers to respected community elders and senior clan leaders who hold authority in customary governance, dispute resolution, and advisory roles. The term carries a symbolic meaning of "the first," "the best," or "the beloved," honoring these senior lineage figures for their wisdom and role in preserving clan order.</t>
  </si>
  <si>
    <t>No reliable results confirming "Bahiru" as a Kambaata kinship term — I can't verify this one.</t>
  </si>
  <si>
    <t>I could not find a specific reference to "Bahiru" in the available search results. The results describe the Kambaata kinship structure as patriarchal and matrilineal  but do not mention "Bahiru" as a specific term.</t>
  </si>
  <si>
    <t>Reeda is a traditional community assembly in Hadiya and parts of Kambaata, where elders and community members gather to discuss issues, make decisions, and resolve disputes.</t>
  </si>
  <si>
    <t>In Hadiya and parts of Kambaata traditional governance, Reeda refers to a customary public assembly or council gathering where elders, clan representatives, and community members meet to deliberate on local matters. It functions as a participatory democratic forum for resolving disputes, making collective administrative decisions, and enacting community laws according to customary legal systems.</t>
  </si>
  <si>
    <t>No reliable results confirming "Reeda" as an assembly term in Hadiya or Kambaata — I can't verify this one either.</t>
  </si>
  <si>
    <t>I could not find a specific reference to "Reeda" as a traditional assembly term in the search results. Instead, the sources describe a "Heera" as a key lower-level administrative unit with its own council and rules, handling violations of the community's Seera code of conduct .</t>
  </si>
  <si>
    <t>Maxóo (Maxo) is the traditional Kambaata season associated with the main rainy period, important for farming and crop growth.</t>
  </si>
  <si>
    <t>In the traditional Kambaata calendar, Maxóo (or Maxo) is the primary dry season that corresponds roughly to the winter period (Bega) from December through February. Characterized by sunny days, cooler night temperatures, and the post-harvest period, it is traditionally a key season for community gatherings, cultural festivities, and weddings.</t>
  </si>
  <si>
    <t>No reliable results confirming "Maxóo" or "Maxo" as a Kambaata calendar season — I can't verify this one.</t>
  </si>
  <si>
    <t>Based on the available search results, I could not find any specific reference to a season called Maxóo (or Maxo) in the Kambaata calendar. The search results discuss the Ethiopian calendar or describe the calendar and seasons of the Kamba people of Kenya (who are a distinct ethnic group), but do not contain information about Kambaata seasonal terms.</t>
  </si>
  <si>
    <t>Hagúu is the traditional Kambaata season associated with the dry period, following the main rainy season.</t>
  </si>
  <si>
    <t>In the Kambaata calendar, Hagúu refers to the dry season. It is characterized by dry, warmer weather and harvest activities, marking the transition away from the main rainy periods.</t>
  </si>
  <si>
    <t>No reliable results confirming "Hagúu" as a Kambaata calendar term — I can't verify this one either.</t>
  </si>
  <si>
    <t>I could not find any specific reference to a season called Hagúu in the Kambaata calendar from the available search results.
The search results discuss the agricultural life of the Kambaata, noting the importance of seasons for farming and that cattle are especially fed with enset leaves in the dry season, but they do not mention this specific seasonal term.</t>
  </si>
  <si>
    <t>Hamilée-ta generally corresponds to December–January in the Gregorian calendar.</t>
  </si>
  <si>
    <t>The Kambaata month Hamilée-ta (corresponding to Hamle in the broader Ethiopian calendar) generally runs from July 8 to August 6 in common Gregorian years.</t>
  </si>
  <si>
    <t>No reliable results confirming "Hamilée-ta" as a Kambaata month or its Gregorian equivalent — I can't verify this one.</t>
  </si>
  <si>
    <t>Based on the available search results, I could not find a specific Gregorian date conversion for the Kambaata month Hamilée-ta.
The search results primarily describe the calendar of the Kamba people of Kenya, who are a distinct ethnic group from the Kambaata of Ethiopia, and do not contain this specific information for the Kambaata.</t>
  </si>
  <si>
    <t>Sanná is a traditional Kambaata calendar month, generally corresponding to January–February in the Gregorian calendar.</t>
  </si>
  <si>
    <t>In the Kambaata language, sanná means "season," "period," or "time" (and can also refer to a "week").  Rather than being the name of a specific month, it is the general term used in the traditional calendar to designate a seasonal period or time of year—such as maxóo sanná (the dry season period) or abábu bata'ó sanná (the flowering/blossoming season).</t>
  </si>
  <si>
    <t>No reliable results confirming "Sanná" as a term in the Kambaata calendar — I can't verify this one.</t>
  </si>
  <si>
    <t>Based on the available search results, I could not find a specific reference to Sanná in the traditional Kambaata calendar. The search results only describe the calendar of the Kamba people of Kenya, who are a distinct ethnic group from the Kambaata of Ethiopia .</t>
  </si>
  <si>
    <t>Hezzeettú is a traditional Kambaata weekly cycle/day-counting system used to organize time and recurring activities.</t>
  </si>
  <si>
    <t>In traditional Kambaata culture, the Hezzeettú weekly cycle is an eight-day market and temporal cycle (derived from hezzeettu, meaning "eight") that traditionally governs local trade and social scheduling. Under this rotating system, regional open-air markets recur every eight days across different communities rather than adhering to a standard seven-day week.</t>
  </si>
  <si>
    <t>No reliable results confirming "Hezzeettú" as a term for a Kambaata weekly cycle — I can't verify this one.</t>
  </si>
  <si>
    <t>I could not find any specific reference to "Hezzeettú" as a weekly cycle in Kambaata culture from the available search results. The results primarily discuss the timekeeping and calendar of the Kamba people of Kenya, who are a distinct ethnic group from the Kambaata of Ethiopia, and do not contain this specific term.</t>
  </si>
  <si>
    <t>Sada grass is used in Fandaano rituals as a sacred symbol of blessing, purification, and peace.</t>
  </si>
  <si>
    <t>In Fandaano rituals, Sada grass (fresh green grass) is used as a sacred symbol of purification, life, and peace to sanctify ritual spaces and offer blessings. During ceremonies, it is strewn across ground floors or held during prayers to invoke harmony, fertility, and divine favor from Waa (God).</t>
  </si>
  <si>
    <t>No reliable results confirming "Sada" grass or its use in fandaano rituals — I can't verify this one.</t>
  </si>
  <si>
    <t>I could not find any specific information on the use of "Sada" grass in Fandaano rituals from the available search results.
The search results focus on medicinal plant use by the Kamba people of Kenya, who are a distinct ethnic group from the Kambaata of Ethiopia, and do not contain this specific cultural information.</t>
  </si>
  <si>
    <t>Geeshsha refers to traditional Kambaata hospitality and welcoming of guests, often involving food, drink, and respectful social interaction.</t>
  </si>
  <si>
    <t>In Kambaata culture, Geeshsha translates to "pure," "clean," or "sacred."
When applied to hospitality, it refers to the highest standard of moral purity, wholehearted sincerity, and spiritual respect extended to guests—ensuring food, lodging, and host intentions are undefiled and offered with unreserved honor.</t>
  </si>
  <si>
    <t>No reliable results confirming "Geeshsha" as a Kambaata hospitality term — I can't verify this one.</t>
  </si>
  <si>
    <t xml:space="preserve">I could not find any specific reference to Geeshsha as a term related to hospitality in Kambaata culture from the available search results. The search results focus on hospitality among the Kamba people of Kenya and other African groups, who are distinct from the Kambaata of Ethiopia .
</t>
  </si>
  <si>
    <t>Ceecaara is a traditional Kambaata post-festival market, where people gather after festivals to trade goods, socialize, and celebrate together.</t>
  </si>
  <si>
    <t>The Ceecaara is a special post-festival market held shortly after major cultural celebrations like Masala (the Kambaata New Year) to trade remaining livestock and restock household supplies. Beyond commerce, it acts as a festive gathering where community members extend the holiday spirit, socialize, and reconnect with visiting relatives.</t>
  </si>
  <si>
    <t>No reliable results confirming "Ceecaara" as a Kambaata post-festival market term — I can't verify this one.</t>
  </si>
  <si>
    <t>Based on the available search results, I could not find a specific reference to Ceecaara as a post-festival market in Kambaata culture. The search results discuss historical trade and the use of currencies like Amole and Martcho among the Kambaata and Hadiya peoples, but they do not mention this specific term or market .</t>
  </si>
  <si>
    <t>Kooráanch-u is a traditional Kambaata household granary/storage space, used mainly for storing grain and other harvested crops.</t>
  </si>
  <si>
    <t>In a rural Kambaata household, the Kooráanch-u is a traditional handcrafted wooden or bamboo storage rack mounted inside the house to organize and display domestic vessels. It elevates clay pots, milk gourds, and cooking utensils off the earthen floor, keeping them clean while symbolizing proper household management.</t>
  </si>
  <si>
    <t>No reliable results confirming "Kooráanch-u" as a Kambaata household term — I can't verify this one.</t>
  </si>
  <si>
    <t>Based on the available search results, I could not find a specific reference to Kooráanch-u as a term in a rural Kambaata household.
However, the search results do list many household items, for instance, kooraano is identified as a small clay container used for melting butter .</t>
  </si>
  <si>
    <t>Mashsh-áachch is a traditional Kambaata kitchen/hearth area, used for cooking and preparing food.</t>
  </si>
  <si>
    <t>In a Kambaata kitchen, the Mashsh-áachch is a traditional scraper tool used to clean and smooth the clay baking griddle before and after cooking kocho. Typically crafted from local wood or bamboo, it removes leftover dough residues to maintain a clean surface for daily enset food preparation.</t>
  </si>
  <si>
    <t>No reliable results confirming "Mashsh-áachch" as a Kambaata kitchen term — I can't verify this one.</t>
  </si>
  <si>
    <t>I could not find a specific reference to Mashsh-áachch as a kitchen term in the available search results. The sources describe traditional household items like clay containers and tools made by craftsmen, but they do not contain this specific word.</t>
  </si>
  <si>
    <t>Waasa is a traditional Kambaata subsistence farming practice, centered on growing crops for household consumption.</t>
  </si>
  <si>
    <t>In Kambaata agricultural subsistence, Waasa is the local term for the fermented plant starch extracted from the pseudostem and corm of the enset (Ensete ventricosum) plant. It serves as the fundamental dietary staple and primary source of carbohydrates for the Kambaata people, forming the basis for traditional foods like kocho.</t>
  </si>
  <si>
    <t>No results confirm "Waasa" specifically as a term in Kambaata subsistence — I did find that enset (ensete ventricosum) is the main staple food crop through mixed cultivation in Kambaata, but nothing ties the name "Waasa" to it. I don't want to guess at that specific term.</t>
  </si>
  <si>
    <t>Based on the available search results, I could not find a specific reference to Waasa as a term in Kambaata agricultural subsistence. The information describes the central role of inset (enset) cultivation in the Kambaata agricultural system, which requires a specific scattered settlement pattern and is a multi-purpose crop used for food, fodder, and materials .</t>
  </si>
  <si>
    <t>Serecho (Abba Serecho) is the high priest and chief religious authority in traditional Kambaata religion, overseeing major rituals and spiritual matters.</t>
  </si>
  <si>
    <t>In traditional Kambaata and regional indigenous belief systems, the Serecho (or Abba Serecho) is a prominent spiritual leader and high priest who acts as an intermediary between the community and the supreme deity, Waa (or Waa'a).
He presides over sacred rituals, bestows blessings, and leads traditional ceremonies such as seasonal sacrifices and purification rites to ensure community peace, fertility, and divine protection.</t>
  </si>
  <si>
    <t>Same as the "Abba Sarecho" question earlier — he's described as the traditional god of the Kambaata people, said to reside at Hambaricho Mountain alongside the king, rather than a "high priest" per se. The king (Woma) and Abba Sarecho, the god of Kambaata, lived at Hambaricho Mountain, where the Gifata festival was celebrated annually. I don't have separate confirmation of a distinct "high priest" role under that name.</t>
  </si>
  <si>
    <t>Based on the available information, Abba Serecho is generally understood as the traditional supreme deity, or god, of the Kambaata people. This figure is culturally associated with Mount Ambarcho, which is considered a sacred site.
Regarding the specific title of "high priest," there is a possibility that the term refers to the Woma—the divine king of the Kambaata. The Woma was the top political and spiritual leader who acted as a mediator between the people and the supernatural world.</t>
  </si>
  <si>
    <t>Mägänancho (Maganancho) is a traditional Kambaata high priest/religious authority, responsible for conducting important rituals and overseeing spiritual matters.</t>
  </si>
  <si>
    <t>In traditional Kambaata belief, a Mägänancho (or Maganancho) is a spiritual leader, ritual officiant, and high priest through whom divine authority and spirits operate. Functioning as a "man of God," he serves as a sacrificer, traditional healer, and mediator, leading sacred ceremonies and invoking divine truth to preserve harmony within the community.</t>
  </si>
  <si>
    <t>No reliable results confirming "Mägänancho" or "Maganancho" as a term for a Kambaata high priest — I can't verify this one.</t>
  </si>
  <si>
    <t>I could not find the specific term Mägänancho in the available search results. The information notes Abba Serecho as the god of the Kambaata people and the Woma as the divine king who acted as the top spiritual leader .</t>
  </si>
  <si>
    <t>Anjaancho is a traditional Hadiya religious/spiritual leader, responsible for rituals, prayers, and spiritual matters.</t>
  </si>
  <si>
    <t>In the traditional Fandaanano socio-religious system of the Hadiya people, the Anjaanchcho (plural: Anjaamaa) served as the high priest and supreme spiritual authority. He presided over sacred rituals, moral guidance, and sacrifices, acting as the primary mediator between the community and the divine.</t>
  </si>
  <si>
    <t>No reliable results confirming "Anjaancho" as a term in Hadiya traditional beliefs — I can't verify this one.</t>
  </si>
  <si>
    <t>Anjaancho is the title for a priest of the Fandaanano religion in Hadiyya traditional beliefs, serving in a spiritual and judicial role . This priest performed rituals to exorcise evil spirits from possessed individuals .</t>
  </si>
  <si>
    <t>Awanaano are traditional spiritual/religious practitioners in the Fandaano faith who assist with rituals and religious ceremonies.</t>
  </si>
  <si>
    <t>In the traditional Fandaano faith, the Awanaano (derived from the root for "service" or "worship") are the devotees, servants, or lay followers who practice the religion's rituals and ethical codes. They form the general spiritual community who seek blessings, guidance, and mediation from the high priests (Anjaanchcho or Mägänancho).</t>
  </si>
  <si>
    <t>No reliable results confirming "Awanaano" as a term in the fandaano faith — I can't verify this one.</t>
  </si>
  <si>
    <t>I could not find a specific reference to the group called "Awanaano" in the Fandaanano faith from the available search results. However, the Fandaanano system itself is described as a traditional socio-religious system of the neighboring Hadiyya people, which functioned until it was replaced by world religions in the 1970s .</t>
  </si>
  <si>
    <t>Ĉophisha is a traditional Kambaata grave/funeral ritual, performed to honor the deceased and mark the burial process.</t>
  </si>
  <si>
    <t>In Southern Ethiopian traditional practices (such as within Kambaata and Hadiya funerary customs), Ĉophisha (also spelled Chophisha or Cophisha) refers to a ceremonial ritual performed around grave sites and during mourning periods.
It typically involves structured communal rites—such as ritual libations, grave preparation, or traditional chant-and-lamentation cycles—conducted by elders or family members to honor the deceased, purify the burial site, and comfort the grieving family.</t>
  </si>
  <si>
    <t>No reliable results confirming "Ĉophisha" as a Kambaata grave ritual — I can't verify this one.</t>
  </si>
  <si>
    <t>Based on the available search results, I could not find any specific reference to a grave ritual called "Ĉophisha." The search results primarily describe the burial and funeral customs of the Kamba people of Kenya, who are a distinct ethnic group from the Kambaata of Ethiopia .</t>
  </si>
  <si>
    <t>Boroodimma is a traditional Kambaata praise-chanting ritual, used to honor, celebrate, or commemorate people and important occasions.</t>
  </si>
  <si>
    <t>In traditional Kambaata and Hadiya cultural practices, the Boroodimma is a ceremonial praise chant and ritual performance used to honor heroism, ancestral lineage, and sacred community milestones. During the ritual, participants engage in rhythmic call-and-response vocalizations and praise poetry to invoke divine blessings, social harmony, and communal pride.</t>
  </si>
  <si>
    <t>No reliable results confirming "Boroodimma" as a chanting/praise ritual — I can't verify this one.</t>
  </si>
  <si>
    <t>Boroodimma is a chanting praise ritual from the Fandaanano tradition, where practitioners call out the names of spirits and give them praises . This ritual was led by a priest known as the Maganancho and often involved the participants holding special grass called Sada .</t>
  </si>
  <si>
    <t>Xibaasima is a traditional Kambaata prayer or blessing ritual, performed to seek protection, well-being, and divine favor.</t>
  </si>
  <si>
    <t>In Kambaata culture, Xibaasima refers to the traditional practice of invoking ritual blessings, prayers, and spiritual well-wishes during communal gatherings and family milestones. Typically pronounced by revered elders or clan leaders, these prayers seek peace, health, and prosperity from the supreme deity (Waa'a) for the entire community.</t>
  </si>
  <si>
    <t>No reliable results confirming "Xibaasima" as a traditional prayer term — I can't verify this one.</t>
  </si>
  <si>
    <t>I could not find a specific description of the Xibaasima traditional prayer in the available search results. The sources mention that Mount Ambarcho was a place where the Kambaata sacrificed and celebrated in the past, but they do not detail the name of a prayer associated with this location .</t>
  </si>
  <si>
    <t>Jaara is a personal protecting spirit in the traditional Kambaata Fandaano belief system, believed to safeguard an individual from harm.</t>
  </si>
  <si>
    <t>In the traditional Fandaanano belief system, Jaara is a tutelary or personal guardian spirit associated with individuals, families, or specific sites. Adherents make small offerings of food or ritual meat offerings to Jaara to seek protection, preserve health, and maintain harmony between human life and the spiritual realm.</t>
  </si>
  <si>
    <t>No reliable results confirming "Jaara" as a personal protecting spirit in fandaano belief — I can't verify this one.</t>
  </si>
  <si>
    <t>I am unable to find a direct match for a personal protecting spirit named Jaara within the Fandaanano tradition based on the available sources. The spiritual hierarchy in related systems often includes a high god and various spirit categories, but specific named personal spirits are not detailed in the provided references.</t>
  </si>
  <si>
    <t>Woxxa (Wole) is a spirit/deity associated with the sky and natural forces in traditional Kambaata Fandaano beliefs.</t>
  </si>
  <si>
    <t>In the traditional Fandaanano (Hadiya) socio-religious system, Woxxa (or Wole) is a prominent spirit associated with justice, moral truth, and retribution.
It acts as a divine force that punishes ethical violations (cubbuu / moral transgressions) and protects the innocent, often invoked during solemn oaths or conflict resolution to ensure fairness.</t>
  </si>
  <si>
    <t>No reliable results confirming "Woxxa" or "Wole" as a spirit in fandaano belief — I can't verify this one.</t>
  </si>
  <si>
    <t>I could not find a specific reference to "Woxxa" or "Wole" as a named spirit in the Fandaanano tradition from the available search results. The searches confirm that Fandaanano includes a category of "spirits and demons" alongside the high god, but individual spirit names like these are not detailed.</t>
  </si>
  <si>
    <t>Wogana (Xibana) is a traditional Kambaata cattle-counting ceremony, used to count and assess livestock and mark their social/economic importance.</t>
  </si>
  <si>
    <t>In Hadiya and Kambaata culture, the Wogana (or Wogana'a, associated with Xibana) is a traditional cattle-counting ceremony performed by wealthy farmers to publicly display their livestock wealth. The ritual grants the host significant social prestige, involving communal celebrations, ritual blessings, and lavish feasts for the entire community.</t>
  </si>
  <si>
    <t>No reliable results confirming "Wogana" or "Xibana" as a cattle-counting ceremony — I can't verify this one.</t>
  </si>
  <si>
    <t xml:space="preserve">I could not find any specific information about a ceremony called Wogana or Xibana in the available search results. The sources mainly describe the traditions of the Akamba people of Kenya, who are a distinct ethnic group from the Kambaata of Ethiopia, and do not contain this specific term .
</t>
  </si>
  <si>
    <t>Kumaamo is an honorary title meaning “respected elder” or “honored person” in Kambaata culture.</t>
  </si>
  <si>
    <t>In regional Ethiopian traditional culture (such as among the Hadiya and Kambaata people), Kumaamo (or Kumaama) is an honorary title bestowed upon a wealthy, respected patriarch who has accumulated extensive livestock wealth—specifically owning or managing a thousand or more cattle.
It signifies exceptional economic success, social prestige, and community generosity, earning the titleholder elevated status and a seat among respected elders in traditional council assemblies.</t>
  </si>
  <si>
    <t>No reliable results confirming "Kumaamo" as an honorary title — I can't verify this one.</t>
  </si>
  <si>
    <t>Based on the available search results, I could not find a specific definition for the honorary title Kumaamo in Kambaata culture.
The sources mention other traditional titles, such as the Woma (the title for kings) and the social class Womano , but do not reference "Kumaamo".</t>
  </si>
  <si>
    <t>Lassancho (Lessaancho) is traditionally the person responsible for preparing the deceased for burial, including funeral-related rites.</t>
  </si>
  <si>
    <t>In Kambaata custom, the Lassancho (or Lessaancho) is a traditional herald and ritual announcer responsible for spreading news of a death throughout the community. Upon receiving word of a passing, they travel between villages to summon relatives, organize the mourning assembly, and guide neighbors into the collective funerary rites.</t>
  </si>
  <si>
    <t>No reliable results confirming "Lassancho" or "Lessaancho" as a Kambaata funerary term — I can't verify this one.</t>
  </si>
  <si>
    <t>I was unable to find a specific reference to the title Lassancho or Lessaancho in Kambaata funerary customs from the available search results.
The information found pertains to the Kamba people of Kenya, who are a distinct ethnic group from the Kambaata of Ethiopia, and their funeral traditions are different and do not mention this title .</t>
  </si>
  <si>
    <t>Farsanno is a traditional Kambaata horse-riding display or celebration, often associated with festivals and communal gatherings.</t>
  </si>
  <si>
    <t>In Kambaata culture, Farsanno refers to traditional equestrian displays and horsemanship performances rather than an edible treat. It serves as a festive highlight during major celebrations like Masqala, showcasing riders' agility, decorated saddlery, and community honor.</t>
  </si>
  <si>
    <t>Recontextualised into the Ethiopian Orthodox Masqala/Meskel festival</t>
  </si>
  <si>
    <t>No reliable results confirming "Farsanno" as a horse-riding-related term — I can't verify this one.</t>
  </si>
  <si>
    <t>I could not find a specific reference to "Farsanno" as a horse riding treat in the available search results.
The search results discuss horse-related cultural traditions in Kazakhstan and Tibet, which are different cultural contexts and do not contain information about Kambaata culture .</t>
  </si>
  <si>
    <t>Olla (Oola) is the traditional Kambaata term for a village/community settlement, forming a basic unit of local social organization.</t>
  </si>
  <si>
    <t>In traditional Kambaata history and social structure, Olla (or Oola) refers to the localized neighborhood or village community unit that forms the foundational level of social organization. It serves as the primary framework for mutual aid, cooperative labor, and localized governance guided by village elders.</t>
  </si>
  <si>
    <t>No reliable results confirming "Olla" or "Oola" as a specific historical term for Kambaata — I can't verify this one. (Note: "olla" is a common Cushitic word for "neighborhood/village," but I can't confirm a specific historical meaning for Kambaata without a source, so I won't guess further.)</t>
  </si>
  <si>
    <t>I was unable to locate a specific reference for Olla (or Oola) within Kambaata traditional history based on the available search results. The information that exists might be very localized to specific oral traditions or sub-clans, or the term might have been transcribed differently across various texts.</t>
  </si>
  <si>
    <t>Wo'e Olla refers to a traditional Kambaata village-border dispute or conflict, generally concerning boundaries and land between neighboring communities.</t>
  </si>
  <si>
    <t>In regional Kambaata and Hadiya history, a Wo'e Olla conflict refers to localized boundary or land disputes occurring between neighboring village communities (olla) over agricultural territory, grazing rights, or water access. These inter-community friction points were traditionally mediated by councils of elders through customary law (seera), negotiating peaceful land demarcations and communal reconciliations.</t>
  </si>
  <si>
    <t>No reliable results confirming "Wo'e Olla" as a border conflict in regional history — I can't verify this one.</t>
  </si>
  <si>
    <t>I am unable to find specific details about the "Wo'e Olla" border conflict in the available search results. It is possible that this refers to a very localized dispute, is a variant spelling of another name (such as Ola), or is part of oral traditions not covered in the current sources.</t>
  </si>
  <si>
    <t>Garbichi Oola was a historical battle between Kambaata forces and invading forces, remembered as part of Kambaata resistance history.</t>
  </si>
  <si>
    <t>In local Kambaata and Hadiya oral history, the Battle of Garbichi Oola refers to a historic inter-community conflict fought over village territorial boundaries and land rights. It is remembered in oral traditions and regional praise poetry as a defining clash that shaped local clan alliances, community defense, and customary land demarcations.</t>
  </si>
  <si>
    <t>No reliable results confirming a historical battle called "Garbichi Oola" — I can't verify this one.</t>
  </si>
  <si>
    <t>I could not find a specific reference to a battle named Garbichi Oola in the available historical records on the Kambaata people .
The search results detail major conflicts like the Kambaata civil war and the subjugation by Emperor Menelik II, but do not mention this specific battle by name .</t>
  </si>
  <si>
    <t>The historical administrative center of Anna was Guraghe (or Guraghe town).</t>
  </si>
  <si>
    <t>The historical administrative center of the Anna region (today's Anna Lemo woreda in Hadiya Zone) is Fonko. Historically, local governance and administrative posts were established on the hills and trading hub of Fonko to oversee the surrounding Anna territory.</t>
  </si>
  <si>
    <t>No reliable results confirming "Anna" as a historical administrative center — I can't verify this one.</t>
  </si>
  <si>
    <t>The historical administrative center of the Kambaata kingdom was the vicinity of Mount Hambaricho, where its kings resided and governed . After the kingdom was annexed by Ethiopia in the late 19th century, the first capital under the new imperial administration was moved to Angaca (Hangacha) .</t>
  </si>
  <si>
    <t>Hadero is historically significant as an important political and administrative center of Kambaata, particularly during the period of traditional Kambaata kingdoms and later regional administration.</t>
  </si>
  <si>
    <t>Historically, Hadero served as a vital trade crossroads and cultural melting pot linking Kambaata, Hadiya, and Wolayita territories in south-central Ethiopia. It also developed into a prominent agricultural and commercial gateway, facilitating regional trade in coffee, livestock, and highland produce along the Omo basin routes.</t>
  </si>
  <si>
    <t>Hadero is a town in Kambaata Zone that historically functioned as a periodic market center, along with Doyogena, for trading enset products, cash crops, and livestock. It's also one of the important towns in Kambata Zone, located near local landmarks including the mountains of Hambaricho, Kataa, and Datoo. Beyond that as a market/trade hub, I don't find strong evidence of a deeper historical significance specific to it.</t>
  </si>
  <si>
    <t>The Hadero area's primary historical significance is its role as a modern administrative center, first as the capital of the larger Hadero Tunto district and later as its own urban district (woreda) within the Kembata Zone . The area is also noted for its history as a hub for ethnic interaction, where the Kambaata and their neighbors engaged in trade and inter-marriage .</t>
  </si>
  <si>
    <t>Qachabira is historically significant as an important traditional Kambaata administrative and cultural center, associated with local governance and community life.</t>
  </si>
  <si>
    <t>The Qachabira (Kacha Bira) region is a fertile agricultural heartland in the Kambaata highlands, centered around Shinshicho and widely known for intensive enset and cash crop production. It also holds deep socio-cultural importance as a densely populated trade center that preserves vibrant Kambaata traditions and community heritage.</t>
  </si>
  <si>
    <t>No reliable results confirming a specific historical or cultural significance for "Qachabira" — I can't verify this one.</t>
  </si>
  <si>
    <t>I could not find any specific historical, cultural, or geographical significance for the Qachabira region in the available search results. The search results primarily discuss Islamic religious gatherings in other parts of Ethiopia but do not mention this location.</t>
  </si>
  <si>
    <t>Garba is a traditional Kambaata rural village/community settlement (olla), serving as a local center for farming, residence, and community life.</t>
  </si>
  <si>
    <t>Garba is a traditional rural village and local administrative locality (kebele) situated within the south-central Ethiopian highlands. It primarily functions as an agrarian community where smallholder farming, livestock rearing, and communal social structures form the foundation of daily life.</t>
  </si>
  <si>
    <t>No reliable results confirming details about a village called "Garba" — I can't verify this one.</t>
  </si>
  <si>
    <t xml:space="preserve">I could not find any information about a rural village named Garba in the Kambaata region. Instead, the search results show several other places with this name, such as the Garba archaeological sites in Ethiopia's Awash Valley  and the Somali town of Garba Harre .
</t>
  </si>
  <si>
    <t>Mishigida is a traditional Kambaata rural village/community settlement, associated with local residence, farming, and community life.</t>
  </si>
  <si>
    <t>Mishigida (Mishgida) is a rural village situated roughly five kilometers south of Durame in the Kambaata region. It is historically recognized for its local Kale Heywet parish and its renowned choir, which played a foundational role in regional spiritual music during the 1970s.</t>
  </si>
  <si>
    <t>Reframed as a Christian (Kale Heywet) church/choir landmark</t>
  </si>
  <si>
    <t>No reliable results confirming details about a village called "Mishigida" — I can't verify this one.</t>
  </si>
  <si>
    <t>Mishigida is a village located five kilometers south of Durame town in the Kambaata County of Ethiopia. It is notably home to the Mishigida Etta dairy cooperative, which is a successful women-led organization with about 250 members that produces yogurt, butter, and cheese.</t>
  </si>
  <si>
    <t>Denekka Bonaamu is a rural Kambaata community known particularly for its enset cultivation and traditional enset-processing practices.</t>
  </si>
  <si>
    <t>Denekka Bonaamu is a traditional rural village located within the Kambaata highland region of south-central Ethiopia [4.2.1]. It functions primarily as an agrarian community where daily life and local livelihoods are centered around smallholder farming and the cultivation of enset [4.2.1].</t>
  </si>
  <si>
    <t>No reliable results confirming details about a village called "Denekka Bonaamu" — I can't verify this one.</t>
  </si>
  <si>
    <t>Denekka Bonaamu is a rural village in the Kambaata region of Ethiopia, primarily known as a documented fieldwork site for linguistic and cultural research on the Kambaata people. Recordings of traditional songs, word games, and household activities like enset processing have been made there, highlighting it as a place where Kambaata language and customs are studied.</t>
  </si>
  <si>
    <t>Mount Shonkolo (Shonkolla) is a prominent mountain in the Hadiya area, regarded as an important geographical and cultural landmark.</t>
  </si>
  <si>
    <t>Mount Shonkolo (Shonkolla) is a prominent mountain peak and natural forest ecosystem located in the Hadiya Zone of south-central Ethiopia. Beyond serving as a key geographical landmark, it holds significant regional biodiversity and acts as a vital watershed for surrounding agricultural communities.</t>
  </si>
  <si>
    <t>No reliable results confirming a mountain called "Shonkolo" or "Shonkolla" in Hadiya geography — I can't verify this one.</t>
  </si>
  <si>
    <t>Summary Dashboard — auto-updates from the Responses tab</t>
  </si>
  <si>
    <t>Model</t>
  </si>
  <si>
    <t>Responses
Logged</t>
  </si>
  <si>
    <t>Avg. Accuracy
(0-4)</t>
  </si>
  <si>
    <t>% Fabrication
(Minor+Severe)</t>
  </si>
  <si>
    <t>% Severe
Fabrication</t>
  </si>
  <si>
    <t>Avg. Narrative
Substitution (0-3)</t>
  </si>
  <si>
    <t>% Geography
Conflation</t>
  </si>
  <si>
    <t>EthioLLM</t>
  </si>
  <si>
    <t>Other</t>
  </si>
  <si>
    <t>Note: percentages stay blank until at least one response is logged for that model (this avoids a divide-by-zero error).</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</si>
</sst>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charset val="1"/>
    </font>
    <font>
      <b/>
      <sz val="16"/>
      <color rgb="FF1F3B33"/>
      <name val="Arial"/>
      <charset val="1"/>
    </font>
    <font>
      <i/>
      <sz val="10"/>
      <color rgb="FF6B7280"/>
      <name val="Arial"/>
      <charset val="1"/>
    </font>
    <font>
      <b/>
      <sz val="12"/>
      <color rgb="FF1F3B33"/>
      <name val="Arial"/>
      <charset val="1"/>
    </font>
    <font>
      <sz val="10"/>
      <name val="Arial"/>
      <charset val="1"/>
    </font>
    <font>
      <b/>
      <sz val="10"/>
      <color rgb="FFFFFFFF"/>
      <name val="Arial"/>
      <charset val="1"/>
    </font>
    <font>
      <b/>
      <sz val="14"/>
      <color rgb="FF1F3B33"/>
      <name val="Arial"/>
      <charset val="1"/>
    </font>
    <font>
      <i/>
      <sz val="9"/>
      <color rgb="FF6B7280"/>
      <name val="Arial"/>
      <charset val="1"/>
    </font>
  </fonts>
  <fills count="4">
    <fill>
      <patternFill patternType="none"/>
    </fill>
    <fill>
      <patternFill patternType="gray125"/>
    </fill>
    <fill>
      <patternFill patternType="solid">
        <fgColor rgb="FF1F3B33"/>
        <bgColor rgb="FF333300"/>
      </patternFill>
    </fill>
    <fill>
      <patternFill patternType="solid">
        <fgColor rgb="FFFFF2A8"/>
        <bgColor rgb="FFFFFFCC"/>
      </patternFill>
    </fill>
  </fills>
  <borders count="2">
    <border>
      <left/>
      <right/>
      <top/>
      <bottom/>
      <diagonal/>
    </border>
    <border>
      <left style="thin">
        <color rgb="FFD0D5DA"/>
      </left>
      <right style="thin">
        <color rgb="FFD0D5DA"/>
      </right>
      <top style="thin">
        <color rgb="FFD0D5DA"/>
      </top>
      <bottom style="thin">
        <color rgb="FFD0D5DA"/>
      </bottom>
      <diagonal/>
    </border>
  </borders>
  <cellStyleXfs count="1">
    <xf numFmtId="0" fontId="0" fillId="0" borderId="0"/>
  </cellStyleXfs>
  <cellXfs count="17">
    <xf numFmtId="0" fontId="0" fillId="0" borderId="0" xfId="0"/>
    <xf numFmtId="0" fontId="0" fillId="0" borderId="0" xfId="0" applyAlignment="1"/>
    <xf numFmtId="0" fontId="1" fillId="0" borderId="0" xfId="0" applyFont="1" applyAlignment="1"/>
    <xf numFmtId="0" fontId="2" fillId="0" borderId="0" xfId="0" applyFont="1" applyAlignment="1">
      <alignment wrapText="1"/>
    </xf>
    <xf numFmtId="0" fontId="3" fillId="0" borderId="0" xfId="0" applyFont="1" applyAlignme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left" vertical="top" wrapText="1"/>
    </xf>
    <xf numFmtId="14" fontId="4" fillId="3" borderId="1" xfId="0" applyNumberFormat="1" applyFont="1" applyFill="1" applyBorder="1" applyAlignment="1">
      <alignment horizontal="center" vertical="top"/>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xf>
    <xf numFmtId="0" fontId="4" fillId="3" borderId="1" xfId="0" applyFont="1" applyFill="1" applyBorder="1" applyAlignment="1">
      <alignment horizontal="left" vertical="top"/>
    </xf>
    <xf numFmtId="0" fontId="6" fillId="0" borderId="0" xfId="0" applyFont="1" applyAlignment="1"/>
    <xf numFmtId="9" fontId="4" fillId="0" borderId="1" xfId="0" applyNumberFormat="1" applyFont="1" applyBorder="1" applyAlignment="1">
      <alignment horizontal="center" vertical="top"/>
    </xf>
    <xf numFmtId="0" fontId="7"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0D5DA"/>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3B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1"/>
  <sheetViews>
    <sheetView showGridLines="0" topLeftCell="B10" zoomScaleNormal="100" workbookViewId="0"/>
  </sheetViews>
  <sheetFormatPr defaultColWidth="8.6328125" defaultRowHeight="14.5" x14ac:dyDescent="0.35"/>
  <cols>
    <col min="1" max="1" width="3" style="1" customWidth="1"/>
    <col min="2" max="2" width="100" style="1" customWidth="1"/>
  </cols>
  <sheetData>
    <row r="2" spans="2:2" ht="19.5" customHeight="1" x14ac:dyDescent="0.4">
      <c r="B2" s="2" t="s">
        <v>0</v>
      </c>
    </row>
    <row r="3" spans="2:2" ht="30" customHeight="1" x14ac:dyDescent="0.35">
      <c r="B3" s="3" t="s">
        <v>1</v>
      </c>
    </row>
    <row r="5" spans="2:2" ht="15" customHeight="1" x14ac:dyDescent="0.35">
      <c r="B5" s="4" t="s">
        <v>2</v>
      </c>
    </row>
    <row r="6" spans="2:2" ht="27.75" customHeight="1" x14ac:dyDescent="0.35">
      <c r="B6" s="5" t="s">
        <v>3</v>
      </c>
    </row>
    <row r="7" spans="2:2" ht="27.75" customHeight="1" x14ac:dyDescent="0.35">
      <c r="B7" s="5" t="s">
        <v>4</v>
      </c>
    </row>
    <row r="8" spans="2:2" ht="27.75" customHeight="1" x14ac:dyDescent="0.35">
      <c r="B8" s="5" t="s">
        <v>5</v>
      </c>
    </row>
    <row r="9" spans="2:2" ht="27.75" customHeight="1" x14ac:dyDescent="0.35">
      <c r="B9" s="5" t="s">
        <v>6</v>
      </c>
    </row>
    <row r="10" spans="2:2" ht="27.75" customHeight="1" x14ac:dyDescent="0.35">
      <c r="B10" s="5" t="s">
        <v>7</v>
      </c>
    </row>
    <row r="12" spans="2:2" ht="15" customHeight="1" x14ac:dyDescent="0.35">
      <c r="B12" s="4" t="s">
        <v>8</v>
      </c>
    </row>
    <row r="13" spans="2:2" ht="27.75" customHeight="1" x14ac:dyDescent="0.35">
      <c r="B13" s="5" t="s">
        <v>9</v>
      </c>
    </row>
    <row r="14" spans="2:2" ht="27.75" customHeight="1" x14ac:dyDescent="0.35">
      <c r="B14" s="5" t="s">
        <v>10</v>
      </c>
    </row>
    <row r="15" spans="2:2" ht="27.75" customHeight="1" x14ac:dyDescent="0.35">
      <c r="B15" s="5" t="s">
        <v>11</v>
      </c>
    </row>
    <row r="17" spans="2:2" ht="15" customHeight="1" x14ac:dyDescent="0.35">
      <c r="B17" s="4" t="s">
        <v>12</v>
      </c>
    </row>
    <row r="18" spans="2:2" ht="27.75" customHeight="1" x14ac:dyDescent="0.35">
      <c r="B18" s="5" t="s">
        <v>13</v>
      </c>
    </row>
    <row r="19" spans="2:2" ht="27.75" customHeight="1" x14ac:dyDescent="0.35">
      <c r="B19" s="5" t="s">
        <v>14</v>
      </c>
    </row>
    <row r="20" spans="2:2" ht="27.75" customHeight="1" x14ac:dyDescent="0.35">
      <c r="B20" s="5" t="s">
        <v>15</v>
      </c>
    </row>
    <row r="21" spans="2:2" ht="27.75" customHeight="1" x14ac:dyDescent="0.35">
      <c r="B21" s="5"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showGridLines="0" topLeftCell="C1" zoomScaleNormal="100" workbookViewId="0">
      <pane ySplit="1" topLeftCell="A77" activePane="bottomLeft" state="frozen"/>
      <selection activeCell="C1" sqref="C1"/>
      <selection pane="bottomLeft" activeCell="D78" sqref="D78"/>
    </sheetView>
  </sheetViews>
  <sheetFormatPr defaultColWidth="8.6328125" defaultRowHeight="14.5" x14ac:dyDescent="0.35"/>
  <cols>
    <col min="1" max="1" width="9" style="1" customWidth="1"/>
    <col min="2" max="2" width="16" style="1" customWidth="1"/>
    <col min="3" max="3" width="15" style="1" customWidth="1"/>
    <col min="4" max="4" width="32" style="1" customWidth="1"/>
    <col min="5" max="5" width="34" style="1" customWidth="1"/>
    <col min="6" max="6" width="28" style="1" customWidth="1"/>
    <col min="7" max="7" width="22" style="1" customWidth="1"/>
    <col min="8" max="8" width="14" style="1" customWidth="1"/>
    <col min="9" max="9" width="10" style="1" customWidth="1"/>
    <col min="10" max="10" width="12" style="1" customWidth="1"/>
  </cols>
  <sheetData>
    <row r="1" spans="1:10" ht="36" customHeight="1" x14ac:dyDescent="0.35">
      <c r="A1" s="6" t="s">
        <v>17</v>
      </c>
      <c r="B1" s="6" t="s">
        <v>18</v>
      </c>
      <c r="C1" s="6" t="s">
        <v>19</v>
      </c>
      <c r="D1" s="6" t="s">
        <v>20</v>
      </c>
      <c r="E1" s="6" t="s">
        <v>21</v>
      </c>
      <c r="F1" s="6" t="s">
        <v>22</v>
      </c>
      <c r="G1" s="6" t="s">
        <v>23</v>
      </c>
      <c r="H1" s="6" t="s">
        <v>24</v>
      </c>
      <c r="I1" s="6" t="s">
        <v>25</v>
      </c>
      <c r="J1" s="6" t="s">
        <v>26</v>
      </c>
    </row>
    <row r="2" spans="1:10" ht="60" customHeight="1" x14ac:dyDescent="0.35">
      <c r="A2" s="7" t="s">
        <v>27</v>
      </c>
      <c r="B2" s="8" t="s">
        <v>28</v>
      </c>
      <c r="C2" s="8" t="s">
        <v>29</v>
      </c>
      <c r="D2" s="9" t="s">
        <v>30</v>
      </c>
      <c r="E2" s="9" t="s">
        <v>31</v>
      </c>
      <c r="F2" s="9" t="s">
        <v>32</v>
      </c>
      <c r="G2" s="9" t="s">
        <v>33</v>
      </c>
      <c r="H2" s="9" t="s">
        <v>34</v>
      </c>
      <c r="I2" s="7" t="s">
        <v>35</v>
      </c>
      <c r="J2" s="7"/>
    </row>
    <row r="3" spans="1:10" ht="60" customHeight="1" x14ac:dyDescent="0.35">
      <c r="A3" s="7" t="s">
        <v>36</v>
      </c>
      <c r="B3" s="8" t="s">
        <v>37</v>
      </c>
      <c r="C3" s="8" t="s">
        <v>29</v>
      </c>
      <c r="D3" s="9" t="s">
        <v>38</v>
      </c>
      <c r="E3" s="9" t="s">
        <v>39</v>
      </c>
      <c r="F3" s="9" t="s">
        <v>40</v>
      </c>
      <c r="G3" s="9" t="s">
        <v>41</v>
      </c>
      <c r="H3" s="9" t="s">
        <v>42</v>
      </c>
      <c r="I3" s="7" t="s">
        <v>35</v>
      </c>
      <c r="J3" s="7"/>
    </row>
    <row r="4" spans="1:10" ht="60" customHeight="1" x14ac:dyDescent="0.35">
      <c r="A4" s="7" t="s">
        <v>43</v>
      </c>
      <c r="B4" s="8" t="s">
        <v>37</v>
      </c>
      <c r="C4" s="8" t="s">
        <v>29</v>
      </c>
      <c r="D4" s="9" t="s">
        <v>44</v>
      </c>
      <c r="E4" s="9" t="s">
        <v>45</v>
      </c>
      <c r="F4" s="9" t="s">
        <v>46</v>
      </c>
      <c r="G4" s="9" t="s">
        <v>41</v>
      </c>
      <c r="H4" s="9" t="s">
        <v>47</v>
      </c>
      <c r="I4" s="7" t="s">
        <v>35</v>
      </c>
      <c r="J4" s="7"/>
    </row>
    <row r="5" spans="1:10" ht="60" customHeight="1" x14ac:dyDescent="0.35">
      <c r="A5" s="7" t="s">
        <v>48</v>
      </c>
      <c r="B5" s="8" t="s">
        <v>49</v>
      </c>
      <c r="C5" s="8" t="s">
        <v>29</v>
      </c>
      <c r="D5" s="9" t="s">
        <v>50</v>
      </c>
      <c r="E5" s="9" t="s">
        <v>51</v>
      </c>
      <c r="F5" s="9" t="s">
        <v>52</v>
      </c>
      <c r="G5" s="9" t="s">
        <v>53</v>
      </c>
      <c r="H5" s="9" t="s">
        <v>54</v>
      </c>
      <c r="I5" s="7" t="s">
        <v>35</v>
      </c>
      <c r="J5" s="7"/>
    </row>
    <row r="6" spans="1:10" ht="60" customHeight="1" x14ac:dyDescent="0.35">
      <c r="A6" s="7" t="s">
        <v>55</v>
      </c>
      <c r="B6" s="8" t="s">
        <v>49</v>
      </c>
      <c r="C6" s="8" t="s">
        <v>29</v>
      </c>
      <c r="D6" s="9" t="s">
        <v>56</v>
      </c>
      <c r="E6" s="9" t="s">
        <v>57</v>
      </c>
      <c r="F6" s="9" t="s">
        <v>58</v>
      </c>
      <c r="G6" s="9" t="s">
        <v>53</v>
      </c>
      <c r="H6" s="9" t="s">
        <v>59</v>
      </c>
      <c r="I6" s="7" t="s">
        <v>35</v>
      </c>
      <c r="J6" s="7"/>
    </row>
    <row r="7" spans="1:10" ht="60" customHeight="1" x14ac:dyDescent="0.35">
      <c r="A7" s="7" t="s">
        <v>60</v>
      </c>
      <c r="B7" s="8" t="s">
        <v>49</v>
      </c>
      <c r="C7" s="8" t="s">
        <v>29</v>
      </c>
      <c r="D7" s="9" t="s">
        <v>61</v>
      </c>
      <c r="E7" s="9" t="s">
        <v>62</v>
      </c>
      <c r="F7" s="9" t="s">
        <v>63</v>
      </c>
      <c r="G7" s="9" t="s">
        <v>53</v>
      </c>
      <c r="H7" s="9" t="s">
        <v>64</v>
      </c>
      <c r="I7" s="7" t="s">
        <v>35</v>
      </c>
      <c r="J7" s="7"/>
    </row>
    <row r="8" spans="1:10" ht="60" customHeight="1" x14ac:dyDescent="0.35">
      <c r="A8" s="7" t="s">
        <v>65</v>
      </c>
      <c r="B8" s="8" t="s">
        <v>49</v>
      </c>
      <c r="C8" s="8" t="s">
        <v>29</v>
      </c>
      <c r="D8" s="9" t="s">
        <v>66</v>
      </c>
      <c r="E8" s="9" t="s">
        <v>67</v>
      </c>
      <c r="F8" s="9" t="s">
        <v>68</v>
      </c>
      <c r="G8" s="9" t="s">
        <v>53</v>
      </c>
      <c r="H8" s="9" t="s">
        <v>64</v>
      </c>
      <c r="I8" s="7" t="s">
        <v>35</v>
      </c>
      <c r="J8" s="7"/>
    </row>
    <row r="9" spans="1:10" ht="60" customHeight="1" x14ac:dyDescent="0.35">
      <c r="A9" s="7" t="s">
        <v>69</v>
      </c>
      <c r="B9" s="8" t="s">
        <v>49</v>
      </c>
      <c r="C9" s="8" t="s">
        <v>29</v>
      </c>
      <c r="D9" s="9" t="s">
        <v>70</v>
      </c>
      <c r="E9" s="9" t="s">
        <v>71</v>
      </c>
      <c r="F9" s="9" t="s">
        <v>72</v>
      </c>
      <c r="G9" s="9" t="s">
        <v>53</v>
      </c>
      <c r="H9" s="9" t="s">
        <v>64</v>
      </c>
      <c r="I9" s="7" t="s">
        <v>35</v>
      </c>
      <c r="J9" s="7"/>
    </row>
    <row r="10" spans="1:10" ht="60" customHeight="1" x14ac:dyDescent="0.35">
      <c r="A10" s="7" t="s">
        <v>73</v>
      </c>
      <c r="B10" s="8" t="s">
        <v>49</v>
      </c>
      <c r="C10" s="8" t="s">
        <v>29</v>
      </c>
      <c r="D10" s="9" t="s">
        <v>74</v>
      </c>
      <c r="E10" s="9" t="s">
        <v>75</v>
      </c>
      <c r="F10" s="9" t="s">
        <v>76</v>
      </c>
      <c r="G10" s="9" t="s">
        <v>53</v>
      </c>
      <c r="H10" s="9" t="s">
        <v>77</v>
      </c>
      <c r="I10" s="7" t="s">
        <v>35</v>
      </c>
      <c r="J10" s="7" t="s">
        <v>35</v>
      </c>
    </row>
    <row r="11" spans="1:10" ht="60" customHeight="1" x14ac:dyDescent="0.35">
      <c r="A11" s="7" t="s">
        <v>78</v>
      </c>
      <c r="B11" s="8" t="s">
        <v>28</v>
      </c>
      <c r="C11" s="8" t="s">
        <v>29</v>
      </c>
      <c r="D11" s="9" t="s">
        <v>79</v>
      </c>
      <c r="E11" s="9" t="s">
        <v>80</v>
      </c>
      <c r="F11" s="9" t="s">
        <v>81</v>
      </c>
      <c r="G11" s="9" t="s">
        <v>41</v>
      </c>
      <c r="H11" s="9" t="s">
        <v>82</v>
      </c>
      <c r="I11" s="7" t="s">
        <v>35</v>
      </c>
      <c r="J11" s="7"/>
    </row>
    <row r="12" spans="1:10" ht="60" customHeight="1" x14ac:dyDescent="0.35">
      <c r="A12" s="7" t="s">
        <v>83</v>
      </c>
      <c r="B12" s="8" t="s">
        <v>84</v>
      </c>
      <c r="C12" s="8" t="s">
        <v>29</v>
      </c>
      <c r="D12" s="9" t="s">
        <v>85</v>
      </c>
      <c r="E12" s="9" t="s">
        <v>86</v>
      </c>
      <c r="F12" s="9" t="s">
        <v>87</v>
      </c>
      <c r="G12" s="9" t="s">
        <v>88</v>
      </c>
      <c r="H12" s="9" t="s">
        <v>89</v>
      </c>
      <c r="I12" s="7" t="s">
        <v>35</v>
      </c>
      <c r="J12" s="7"/>
    </row>
    <row r="13" spans="1:10" ht="60" customHeight="1" x14ac:dyDescent="0.35">
      <c r="A13" s="7" t="s">
        <v>90</v>
      </c>
      <c r="B13" s="8" t="s">
        <v>91</v>
      </c>
      <c r="C13" s="8" t="s">
        <v>29</v>
      </c>
      <c r="D13" s="9" t="s">
        <v>92</v>
      </c>
      <c r="E13" s="9" t="s">
        <v>93</v>
      </c>
      <c r="F13" s="9" t="s">
        <v>94</v>
      </c>
      <c r="G13" s="9" t="s">
        <v>53</v>
      </c>
      <c r="H13" s="9" t="s">
        <v>95</v>
      </c>
      <c r="I13" s="7" t="s">
        <v>35</v>
      </c>
      <c r="J13" s="7"/>
    </row>
    <row r="14" spans="1:10" ht="60" customHeight="1" x14ac:dyDescent="0.35">
      <c r="A14" s="7" t="s">
        <v>96</v>
      </c>
      <c r="B14" s="8" t="s">
        <v>91</v>
      </c>
      <c r="C14" s="8" t="s">
        <v>29</v>
      </c>
      <c r="D14" s="9" t="s">
        <v>97</v>
      </c>
      <c r="E14" s="9" t="s">
        <v>98</v>
      </c>
      <c r="F14" s="9" t="s">
        <v>99</v>
      </c>
      <c r="G14" s="9" t="s">
        <v>100</v>
      </c>
      <c r="H14" s="9" t="s">
        <v>101</v>
      </c>
      <c r="I14" s="7" t="s">
        <v>35</v>
      </c>
      <c r="J14" s="7"/>
    </row>
    <row r="15" spans="1:10" ht="60" customHeight="1" x14ac:dyDescent="0.35">
      <c r="A15" s="7" t="s">
        <v>102</v>
      </c>
      <c r="B15" s="8" t="s">
        <v>91</v>
      </c>
      <c r="C15" s="8" t="s">
        <v>29</v>
      </c>
      <c r="D15" s="9" t="s">
        <v>103</v>
      </c>
      <c r="E15" s="9" t="s">
        <v>104</v>
      </c>
      <c r="F15" s="9" t="s">
        <v>105</v>
      </c>
      <c r="G15" s="9" t="s">
        <v>100</v>
      </c>
      <c r="H15" s="9" t="s">
        <v>101</v>
      </c>
      <c r="I15" s="7" t="s">
        <v>35</v>
      </c>
      <c r="J15" s="7"/>
    </row>
    <row r="16" spans="1:10" ht="60" customHeight="1" x14ac:dyDescent="0.35">
      <c r="A16" s="7" t="s">
        <v>106</v>
      </c>
      <c r="B16" s="8" t="s">
        <v>91</v>
      </c>
      <c r="C16" s="8" t="s">
        <v>29</v>
      </c>
      <c r="D16" s="9" t="s">
        <v>107</v>
      </c>
      <c r="E16" s="9" t="s">
        <v>108</v>
      </c>
      <c r="F16" s="9" t="s">
        <v>109</v>
      </c>
      <c r="G16" s="9" t="s">
        <v>53</v>
      </c>
      <c r="H16" s="9" t="s">
        <v>59</v>
      </c>
      <c r="I16" s="7" t="s">
        <v>35</v>
      </c>
      <c r="J16" s="7"/>
    </row>
    <row r="17" spans="1:10" ht="60" customHeight="1" x14ac:dyDescent="0.35">
      <c r="A17" s="7" t="s">
        <v>110</v>
      </c>
      <c r="B17" s="8" t="s">
        <v>49</v>
      </c>
      <c r="C17" s="8" t="s">
        <v>29</v>
      </c>
      <c r="D17" s="9" t="s">
        <v>111</v>
      </c>
      <c r="E17" s="9" t="s">
        <v>112</v>
      </c>
      <c r="F17" s="9" t="s">
        <v>113</v>
      </c>
      <c r="G17" s="9" t="s">
        <v>53</v>
      </c>
      <c r="H17" s="9" t="s">
        <v>114</v>
      </c>
      <c r="I17" s="7" t="s">
        <v>35</v>
      </c>
      <c r="J17" s="7"/>
    </row>
    <row r="18" spans="1:10" ht="60" customHeight="1" x14ac:dyDescent="0.35">
      <c r="A18" s="7" t="s">
        <v>115</v>
      </c>
      <c r="B18" s="8" t="s">
        <v>49</v>
      </c>
      <c r="C18" s="8" t="s">
        <v>29</v>
      </c>
      <c r="D18" s="9" t="s">
        <v>116</v>
      </c>
      <c r="E18" s="9" t="s">
        <v>117</v>
      </c>
      <c r="F18" s="9" t="s">
        <v>118</v>
      </c>
      <c r="G18" s="9" t="s">
        <v>119</v>
      </c>
      <c r="H18" s="9" t="s">
        <v>120</v>
      </c>
      <c r="I18" s="7" t="s">
        <v>35</v>
      </c>
      <c r="J18" s="7"/>
    </row>
    <row r="19" spans="1:10" ht="60" customHeight="1" x14ac:dyDescent="0.35">
      <c r="A19" s="7" t="s">
        <v>121</v>
      </c>
      <c r="B19" s="8" t="s">
        <v>49</v>
      </c>
      <c r="C19" s="8" t="s">
        <v>29</v>
      </c>
      <c r="D19" s="9" t="s">
        <v>122</v>
      </c>
      <c r="E19" s="9" t="s">
        <v>123</v>
      </c>
      <c r="F19" s="9" t="s">
        <v>124</v>
      </c>
      <c r="G19" s="9" t="s">
        <v>53</v>
      </c>
      <c r="H19" s="9" t="s">
        <v>125</v>
      </c>
      <c r="I19" s="7" t="s">
        <v>35</v>
      </c>
      <c r="J19" s="7"/>
    </row>
    <row r="20" spans="1:10" ht="60" customHeight="1" x14ac:dyDescent="0.35">
      <c r="A20" s="7" t="s">
        <v>126</v>
      </c>
      <c r="B20" s="8" t="s">
        <v>127</v>
      </c>
      <c r="C20" s="8" t="s">
        <v>29</v>
      </c>
      <c r="D20" s="9" t="s">
        <v>128</v>
      </c>
      <c r="E20" s="9" t="s">
        <v>129</v>
      </c>
      <c r="F20" s="9" t="s">
        <v>130</v>
      </c>
      <c r="G20" s="9" t="s">
        <v>88</v>
      </c>
      <c r="H20" s="9" t="s">
        <v>131</v>
      </c>
      <c r="I20" s="7" t="s">
        <v>35</v>
      </c>
      <c r="J20" s="7"/>
    </row>
    <row r="21" spans="1:10" ht="60" customHeight="1" x14ac:dyDescent="0.35">
      <c r="A21" s="7" t="s">
        <v>132</v>
      </c>
      <c r="B21" s="8" t="s">
        <v>133</v>
      </c>
      <c r="C21" s="8" t="s">
        <v>29</v>
      </c>
      <c r="D21" s="9" t="s">
        <v>134</v>
      </c>
      <c r="E21" s="9" t="s">
        <v>135</v>
      </c>
      <c r="F21" s="9" t="s">
        <v>136</v>
      </c>
      <c r="G21" s="9" t="s">
        <v>53</v>
      </c>
      <c r="H21" s="9" t="s">
        <v>137</v>
      </c>
      <c r="I21" s="7" t="s">
        <v>35</v>
      </c>
      <c r="J21" s="7"/>
    </row>
    <row r="22" spans="1:10" ht="60" customHeight="1" x14ac:dyDescent="0.35">
      <c r="A22" s="7" t="s">
        <v>138</v>
      </c>
      <c r="B22" s="8" t="s">
        <v>133</v>
      </c>
      <c r="C22" s="8" t="s">
        <v>29</v>
      </c>
      <c r="D22" s="9" t="s">
        <v>139</v>
      </c>
      <c r="E22" s="9" t="s">
        <v>140</v>
      </c>
      <c r="F22" s="9" t="s">
        <v>141</v>
      </c>
      <c r="G22" s="9" t="s">
        <v>41</v>
      </c>
      <c r="H22" s="9" t="s">
        <v>142</v>
      </c>
      <c r="I22" s="7" t="s">
        <v>35</v>
      </c>
      <c r="J22" s="7"/>
    </row>
    <row r="23" spans="1:10" ht="60" customHeight="1" x14ac:dyDescent="0.35">
      <c r="A23" s="7" t="s">
        <v>143</v>
      </c>
      <c r="B23" s="8" t="s">
        <v>133</v>
      </c>
      <c r="C23" s="8" t="s">
        <v>29</v>
      </c>
      <c r="D23" s="9" t="s">
        <v>144</v>
      </c>
      <c r="E23" s="9" t="s">
        <v>145</v>
      </c>
      <c r="F23" s="9" t="s">
        <v>146</v>
      </c>
      <c r="G23" s="9" t="s">
        <v>41</v>
      </c>
      <c r="H23" s="9" t="s">
        <v>147</v>
      </c>
      <c r="I23" s="7" t="s">
        <v>35</v>
      </c>
      <c r="J23" s="7"/>
    </row>
    <row r="24" spans="1:10" ht="60" customHeight="1" x14ac:dyDescent="0.35">
      <c r="A24" s="7" t="s">
        <v>148</v>
      </c>
      <c r="B24" s="8" t="s">
        <v>133</v>
      </c>
      <c r="C24" s="8" t="s">
        <v>29</v>
      </c>
      <c r="D24" s="9" t="s">
        <v>149</v>
      </c>
      <c r="E24" s="9" t="s">
        <v>150</v>
      </c>
      <c r="F24" s="9" t="s">
        <v>151</v>
      </c>
      <c r="G24" s="9" t="s">
        <v>41</v>
      </c>
      <c r="H24" s="9" t="s">
        <v>152</v>
      </c>
      <c r="I24" s="7" t="s">
        <v>35</v>
      </c>
      <c r="J24" s="7"/>
    </row>
    <row r="25" spans="1:10" ht="60" customHeight="1" x14ac:dyDescent="0.35">
      <c r="A25" s="7" t="s">
        <v>153</v>
      </c>
      <c r="B25" s="8" t="s">
        <v>133</v>
      </c>
      <c r="C25" s="8" t="s">
        <v>29</v>
      </c>
      <c r="D25" s="9" t="s">
        <v>154</v>
      </c>
      <c r="E25" s="9" t="s">
        <v>155</v>
      </c>
      <c r="F25" s="9" t="s">
        <v>156</v>
      </c>
      <c r="G25" s="9" t="s">
        <v>41</v>
      </c>
      <c r="H25" s="9" t="s">
        <v>152</v>
      </c>
      <c r="I25" s="7" t="s">
        <v>35</v>
      </c>
      <c r="J25" s="7"/>
    </row>
    <row r="26" spans="1:10" ht="60" customHeight="1" x14ac:dyDescent="0.35">
      <c r="A26" s="7" t="s">
        <v>157</v>
      </c>
      <c r="B26" s="8" t="s">
        <v>133</v>
      </c>
      <c r="C26" s="8" t="s">
        <v>29</v>
      </c>
      <c r="D26" s="9" t="s">
        <v>158</v>
      </c>
      <c r="E26" s="9" t="s">
        <v>159</v>
      </c>
      <c r="F26" s="9" t="s">
        <v>160</v>
      </c>
      <c r="G26" s="9" t="s">
        <v>41</v>
      </c>
      <c r="H26" s="9" t="s">
        <v>152</v>
      </c>
      <c r="I26" s="7" t="s">
        <v>35</v>
      </c>
      <c r="J26" s="7"/>
    </row>
    <row r="27" spans="1:10" ht="60" customHeight="1" x14ac:dyDescent="0.35">
      <c r="A27" s="7" t="s">
        <v>161</v>
      </c>
      <c r="B27" s="8" t="s">
        <v>133</v>
      </c>
      <c r="C27" s="8" t="s">
        <v>29</v>
      </c>
      <c r="D27" s="9" t="s">
        <v>162</v>
      </c>
      <c r="E27" s="9" t="s">
        <v>163</v>
      </c>
      <c r="F27" s="9" t="s">
        <v>164</v>
      </c>
      <c r="G27" s="9" t="s">
        <v>41</v>
      </c>
      <c r="H27" s="9" t="s">
        <v>152</v>
      </c>
      <c r="I27" s="7" t="s">
        <v>35</v>
      </c>
      <c r="J27" s="7"/>
    </row>
    <row r="28" spans="1:10" ht="60" customHeight="1" x14ac:dyDescent="0.35">
      <c r="A28" s="7" t="s">
        <v>165</v>
      </c>
      <c r="B28" s="8" t="s">
        <v>133</v>
      </c>
      <c r="C28" s="8" t="s">
        <v>29</v>
      </c>
      <c r="D28" s="9" t="s">
        <v>166</v>
      </c>
      <c r="E28" s="9" t="s">
        <v>167</v>
      </c>
      <c r="F28" s="9" t="s">
        <v>168</v>
      </c>
      <c r="G28" s="9" t="s">
        <v>41</v>
      </c>
      <c r="H28" s="9" t="s">
        <v>169</v>
      </c>
      <c r="I28" s="7" t="s">
        <v>35</v>
      </c>
      <c r="J28" s="7"/>
    </row>
    <row r="29" spans="1:10" ht="60" customHeight="1" x14ac:dyDescent="0.35">
      <c r="A29" s="7" t="s">
        <v>170</v>
      </c>
      <c r="B29" s="8" t="s">
        <v>133</v>
      </c>
      <c r="C29" s="8" t="s">
        <v>29</v>
      </c>
      <c r="D29" s="9" t="s">
        <v>171</v>
      </c>
      <c r="E29" s="9" t="s">
        <v>172</v>
      </c>
      <c r="F29" s="9" t="s">
        <v>173</v>
      </c>
      <c r="G29" s="9" t="s">
        <v>41</v>
      </c>
      <c r="H29" s="9" t="s">
        <v>169</v>
      </c>
      <c r="I29" s="7" t="s">
        <v>35</v>
      </c>
      <c r="J29" s="7"/>
    </row>
    <row r="30" spans="1:10" ht="60" customHeight="1" x14ac:dyDescent="0.35">
      <c r="A30" s="7" t="s">
        <v>174</v>
      </c>
      <c r="B30" s="8" t="s">
        <v>175</v>
      </c>
      <c r="C30" s="8" t="s">
        <v>29</v>
      </c>
      <c r="D30" s="9" t="s">
        <v>176</v>
      </c>
      <c r="E30" s="9" t="s">
        <v>177</v>
      </c>
      <c r="F30" s="9" t="s">
        <v>178</v>
      </c>
      <c r="G30" s="9" t="s">
        <v>41</v>
      </c>
      <c r="H30" s="9" t="s">
        <v>179</v>
      </c>
      <c r="I30" s="7" t="s">
        <v>35</v>
      </c>
      <c r="J30" s="7"/>
    </row>
    <row r="31" spans="1:10" ht="60" customHeight="1" x14ac:dyDescent="0.35">
      <c r="A31" s="7" t="s">
        <v>180</v>
      </c>
      <c r="B31" s="8" t="s">
        <v>175</v>
      </c>
      <c r="C31" s="8" t="s">
        <v>29</v>
      </c>
      <c r="D31" s="9" t="s">
        <v>181</v>
      </c>
      <c r="E31" s="9" t="s">
        <v>182</v>
      </c>
      <c r="F31" s="9" t="s">
        <v>183</v>
      </c>
      <c r="G31" s="9" t="s">
        <v>41</v>
      </c>
      <c r="H31" s="9" t="s">
        <v>184</v>
      </c>
      <c r="I31" s="7" t="s">
        <v>35</v>
      </c>
      <c r="J31" s="7"/>
    </row>
    <row r="32" spans="1:10" ht="60" customHeight="1" x14ac:dyDescent="0.35">
      <c r="A32" s="7" t="s">
        <v>185</v>
      </c>
      <c r="B32" s="8" t="s">
        <v>175</v>
      </c>
      <c r="C32" s="8" t="s">
        <v>29</v>
      </c>
      <c r="D32" s="9" t="s">
        <v>186</v>
      </c>
      <c r="E32" s="9" t="s">
        <v>187</v>
      </c>
      <c r="F32" s="9" t="s">
        <v>188</v>
      </c>
      <c r="G32" s="9" t="s">
        <v>41</v>
      </c>
      <c r="H32" s="9" t="s">
        <v>189</v>
      </c>
      <c r="I32" s="7" t="s">
        <v>35</v>
      </c>
      <c r="J32" s="7" t="s">
        <v>35</v>
      </c>
    </row>
    <row r="33" spans="1:10" ht="60" customHeight="1" x14ac:dyDescent="0.35">
      <c r="A33" s="7" t="s">
        <v>190</v>
      </c>
      <c r="B33" s="8" t="s">
        <v>28</v>
      </c>
      <c r="C33" s="8" t="s">
        <v>29</v>
      </c>
      <c r="D33" s="9" t="s">
        <v>191</v>
      </c>
      <c r="E33" s="9" t="s">
        <v>192</v>
      </c>
      <c r="F33" s="9" t="s">
        <v>193</v>
      </c>
      <c r="G33" s="9" t="s">
        <v>53</v>
      </c>
      <c r="H33" s="9" t="s">
        <v>194</v>
      </c>
      <c r="I33" s="7" t="s">
        <v>35</v>
      </c>
      <c r="J33" s="7"/>
    </row>
    <row r="34" spans="1:10" ht="60" customHeight="1" x14ac:dyDescent="0.35">
      <c r="A34" s="7" t="s">
        <v>195</v>
      </c>
      <c r="B34" s="8" t="s">
        <v>28</v>
      </c>
      <c r="C34" s="8" t="s">
        <v>29</v>
      </c>
      <c r="D34" s="9" t="s">
        <v>196</v>
      </c>
      <c r="E34" s="9" t="s">
        <v>197</v>
      </c>
      <c r="F34" s="9" t="s">
        <v>198</v>
      </c>
      <c r="G34" s="9" t="s">
        <v>41</v>
      </c>
      <c r="H34" s="9" t="s">
        <v>199</v>
      </c>
      <c r="I34" s="7" t="s">
        <v>35</v>
      </c>
      <c r="J34" s="7" t="s">
        <v>35</v>
      </c>
    </row>
    <row r="35" spans="1:10" ht="60" customHeight="1" x14ac:dyDescent="0.35">
      <c r="A35" s="7" t="s">
        <v>200</v>
      </c>
      <c r="B35" s="8" t="s">
        <v>28</v>
      </c>
      <c r="C35" s="8" t="s">
        <v>29</v>
      </c>
      <c r="D35" s="9" t="s">
        <v>201</v>
      </c>
      <c r="E35" s="9" t="s">
        <v>202</v>
      </c>
      <c r="F35" s="9" t="s">
        <v>203</v>
      </c>
      <c r="G35" s="9" t="s">
        <v>53</v>
      </c>
      <c r="H35" s="9" t="s">
        <v>204</v>
      </c>
      <c r="I35" s="7" t="s">
        <v>35</v>
      </c>
      <c r="J35" s="7"/>
    </row>
    <row r="36" spans="1:10" ht="60" customHeight="1" x14ac:dyDescent="0.35">
      <c r="A36" s="7" t="s">
        <v>205</v>
      </c>
      <c r="B36" s="8" t="s">
        <v>206</v>
      </c>
      <c r="C36" s="8" t="s">
        <v>29</v>
      </c>
      <c r="D36" s="9" t="s">
        <v>207</v>
      </c>
      <c r="E36" s="9" t="s">
        <v>208</v>
      </c>
      <c r="F36" s="9" t="s">
        <v>209</v>
      </c>
      <c r="G36" s="9" t="s">
        <v>210</v>
      </c>
      <c r="H36" s="9" t="s">
        <v>211</v>
      </c>
      <c r="I36" s="7" t="s">
        <v>35</v>
      </c>
      <c r="J36" s="7"/>
    </row>
    <row r="37" spans="1:10" ht="60" customHeight="1" x14ac:dyDescent="0.35">
      <c r="A37" s="7" t="s">
        <v>212</v>
      </c>
      <c r="B37" s="8" t="s">
        <v>213</v>
      </c>
      <c r="C37" s="8" t="s">
        <v>29</v>
      </c>
      <c r="D37" s="9" t="s">
        <v>214</v>
      </c>
      <c r="E37" s="9" t="s">
        <v>215</v>
      </c>
      <c r="F37" s="9" t="s">
        <v>216</v>
      </c>
      <c r="G37" s="9" t="s">
        <v>210</v>
      </c>
      <c r="H37" s="9" t="s">
        <v>217</v>
      </c>
      <c r="I37" s="7" t="s">
        <v>35</v>
      </c>
      <c r="J37" s="7"/>
    </row>
    <row r="38" spans="1:10" ht="60" customHeight="1" x14ac:dyDescent="0.35">
      <c r="A38" s="7" t="s">
        <v>218</v>
      </c>
      <c r="B38" s="8" t="s">
        <v>213</v>
      </c>
      <c r="C38" s="8" t="s">
        <v>29</v>
      </c>
      <c r="D38" s="9" t="s">
        <v>219</v>
      </c>
      <c r="E38" s="9" t="s">
        <v>220</v>
      </c>
      <c r="F38" s="9" t="s">
        <v>221</v>
      </c>
      <c r="G38" s="9" t="s">
        <v>210</v>
      </c>
      <c r="H38" s="9" t="s">
        <v>217</v>
      </c>
      <c r="I38" s="7" t="s">
        <v>35</v>
      </c>
      <c r="J38" s="7"/>
    </row>
    <row r="39" spans="1:10" ht="60" customHeight="1" x14ac:dyDescent="0.35">
      <c r="A39" s="7" t="s">
        <v>222</v>
      </c>
      <c r="B39" s="8" t="s">
        <v>213</v>
      </c>
      <c r="C39" s="8" t="s">
        <v>29</v>
      </c>
      <c r="D39" s="9" t="s">
        <v>223</v>
      </c>
      <c r="E39" s="9" t="s">
        <v>224</v>
      </c>
      <c r="F39" s="9" t="s">
        <v>225</v>
      </c>
      <c r="G39" s="9" t="s">
        <v>210</v>
      </c>
      <c r="H39" s="9" t="s">
        <v>217</v>
      </c>
      <c r="I39" s="7" t="s">
        <v>35</v>
      </c>
      <c r="J39" s="7"/>
    </row>
    <row r="40" spans="1:10" ht="60" customHeight="1" x14ac:dyDescent="0.35">
      <c r="A40" s="7" t="s">
        <v>226</v>
      </c>
      <c r="B40" s="8" t="s">
        <v>227</v>
      </c>
      <c r="C40" s="8" t="s">
        <v>228</v>
      </c>
      <c r="D40" s="9" t="s">
        <v>229</v>
      </c>
      <c r="E40" s="9" t="s">
        <v>230</v>
      </c>
      <c r="F40" s="9" t="s">
        <v>231</v>
      </c>
      <c r="G40" s="9" t="s">
        <v>210</v>
      </c>
      <c r="H40" s="9" t="s">
        <v>232</v>
      </c>
      <c r="I40" s="7" t="s">
        <v>35</v>
      </c>
      <c r="J40" s="7" t="s">
        <v>35</v>
      </c>
    </row>
    <row r="41" spans="1:10" ht="60" customHeight="1" x14ac:dyDescent="0.35">
      <c r="A41" s="7" t="s">
        <v>233</v>
      </c>
      <c r="B41" s="8" t="s">
        <v>234</v>
      </c>
      <c r="C41" s="8" t="s">
        <v>228</v>
      </c>
      <c r="D41" s="9" t="s">
        <v>235</v>
      </c>
      <c r="E41" s="9" t="s">
        <v>236</v>
      </c>
      <c r="F41" s="9" t="s">
        <v>237</v>
      </c>
      <c r="G41" s="9" t="s">
        <v>210</v>
      </c>
      <c r="H41" s="9" t="s">
        <v>238</v>
      </c>
      <c r="I41" s="7" t="s">
        <v>35</v>
      </c>
      <c r="J41" s="7"/>
    </row>
    <row r="42" spans="1:10" ht="60" customHeight="1" x14ac:dyDescent="0.35">
      <c r="A42" s="7" t="s">
        <v>239</v>
      </c>
      <c r="B42" s="8" t="s">
        <v>240</v>
      </c>
      <c r="C42" s="8" t="s">
        <v>29</v>
      </c>
      <c r="D42" s="9" t="s">
        <v>241</v>
      </c>
      <c r="E42" s="9" t="s">
        <v>242</v>
      </c>
      <c r="F42" s="9" t="s">
        <v>243</v>
      </c>
      <c r="G42" s="9" t="s">
        <v>41</v>
      </c>
      <c r="H42" s="9" t="s">
        <v>244</v>
      </c>
      <c r="I42" s="7" t="s">
        <v>35</v>
      </c>
      <c r="J42" s="7"/>
    </row>
    <row r="43" spans="1:10" ht="60" customHeight="1" x14ac:dyDescent="0.35">
      <c r="A43" s="7" t="s">
        <v>245</v>
      </c>
      <c r="B43" s="8" t="s">
        <v>246</v>
      </c>
      <c r="C43" s="8" t="s">
        <v>228</v>
      </c>
      <c r="D43" s="9" t="s">
        <v>247</v>
      </c>
      <c r="E43" s="9" t="s">
        <v>248</v>
      </c>
      <c r="F43" s="9" t="s">
        <v>249</v>
      </c>
      <c r="G43" s="9" t="s">
        <v>53</v>
      </c>
      <c r="H43" s="9" t="s">
        <v>250</v>
      </c>
      <c r="I43" s="7" t="s">
        <v>35</v>
      </c>
      <c r="J43" s="7"/>
    </row>
    <row r="44" spans="1:10" ht="60" customHeight="1" x14ac:dyDescent="0.35">
      <c r="A44" s="7" t="s">
        <v>251</v>
      </c>
      <c r="B44" s="8" t="s">
        <v>49</v>
      </c>
      <c r="C44" s="8" t="s">
        <v>228</v>
      </c>
      <c r="D44" s="9" t="s">
        <v>252</v>
      </c>
      <c r="E44" s="9" t="s">
        <v>253</v>
      </c>
      <c r="F44" s="9" t="s">
        <v>254</v>
      </c>
      <c r="G44" s="9" t="s">
        <v>41</v>
      </c>
      <c r="H44" s="9" t="s">
        <v>255</v>
      </c>
      <c r="I44" s="7" t="s">
        <v>35</v>
      </c>
      <c r="J44" s="7"/>
    </row>
    <row r="45" spans="1:10" ht="60" customHeight="1" x14ac:dyDescent="0.35">
      <c r="A45" s="7" t="s">
        <v>256</v>
      </c>
      <c r="B45" s="8" t="s">
        <v>257</v>
      </c>
      <c r="C45" s="8" t="s">
        <v>228</v>
      </c>
      <c r="D45" s="9" t="s">
        <v>258</v>
      </c>
      <c r="E45" s="9" t="s">
        <v>259</v>
      </c>
      <c r="F45" s="9" t="s">
        <v>260</v>
      </c>
      <c r="G45" s="9" t="s">
        <v>210</v>
      </c>
      <c r="H45" s="9" t="s">
        <v>261</v>
      </c>
      <c r="I45" s="7" t="s">
        <v>35</v>
      </c>
      <c r="J45" s="7"/>
    </row>
    <row r="46" spans="1:10" ht="60" customHeight="1" x14ac:dyDescent="0.35">
      <c r="A46" s="7" t="s">
        <v>262</v>
      </c>
      <c r="B46" s="8" t="s">
        <v>257</v>
      </c>
      <c r="C46" s="8" t="s">
        <v>228</v>
      </c>
      <c r="D46" s="9" t="s">
        <v>263</v>
      </c>
      <c r="E46" s="9" t="s">
        <v>264</v>
      </c>
      <c r="F46" s="9" t="s">
        <v>265</v>
      </c>
      <c r="G46" s="9" t="s">
        <v>210</v>
      </c>
      <c r="H46" s="9" t="s">
        <v>261</v>
      </c>
      <c r="I46" s="7" t="s">
        <v>35</v>
      </c>
      <c r="J46" s="7" t="s">
        <v>35</v>
      </c>
    </row>
    <row r="47" spans="1:10" ht="60" customHeight="1" x14ac:dyDescent="0.35">
      <c r="A47" s="7" t="s">
        <v>266</v>
      </c>
      <c r="B47" s="8" t="s">
        <v>257</v>
      </c>
      <c r="C47" s="8" t="s">
        <v>228</v>
      </c>
      <c r="D47" s="9" t="s">
        <v>267</v>
      </c>
      <c r="E47" s="9" t="s">
        <v>268</v>
      </c>
      <c r="F47" s="9" t="s">
        <v>269</v>
      </c>
      <c r="G47" s="9" t="s">
        <v>210</v>
      </c>
      <c r="H47" s="9" t="s">
        <v>270</v>
      </c>
      <c r="I47" s="7" t="s">
        <v>35</v>
      </c>
      <c r="J47" s="7" t="s">
        <v>35</v>
      </c>
    </row>
    <row r="48" spans="1:10" ht="60" customHeight="1" x14ac:dyDescent="0.35">
      <c r="A48" s="7" t="s">
        <v>271</v>
      </c>
      <c r="B48" s="8" t="s">
        <v>257</v>
      </c>
      <c r="C48" s="8" t="s">
        <v>29</v>
      </c>
      <c r="D48" s="9" t="s">
        <v>272</v>
      </c>
      <c r="E48" s="9" t="s">
        <v>273</v>
      </c>
      <c r="F48" s="9" t="s">
        <v>274</v>
      </c>
      <c r="G48" s="9" t="s">
        <v>210</v>
      </c>
      <c r="H48" s="9" t="s">
        <v>261</v>
      </c>
      <c r="I48" s="7" t="s">
        <v>35</v>
      </c>
      <c r="J48" s="7" t="s">
        <v>35</v>
      </c>
    </row>
    <row r="49" spans="1:10" ht="60" customHeight="1" x14ac:dyDescent="0.35">
      <c r="A49" s="7" t="s">
        <v>275</v>
      </c>
      <c r="B49" s="8" t="s">
        <v>257</v>
      </c>
      <c r="C49" s="8" t="s">
        <v>29</v>
      </c>
      <c r="D49" s="9" t="s">
        <v>276</v>
      </c>
      <c r="E49" s="9" t="s">
        <v>277</v>
      </c>
      <c r="F49" s="9" t="s">
        <v>278</v>
      </c>
      <c r="G49" s="9" t="s">
        <v>210</v>
      </c>
      <c r="H49" s="9" t="s">
        <v>261</v>
      </c>
      <c r="I49" s="7" t="s">
        <v>35</v>
      </c>
      <c r="J49" s="7" t="s">
        <v>35</v>
      </c>
    </row>
    <row r="50" spans="1:10" ht="60" customHeight="1" x14ac:dyDescent="0.35">
      <c r="A50" s="7" t="s">
        <v>279</v>
      </c>
      <c r="B50" s="8" t="s">
        <v>37</v>
      </c>
      <c r="C50" s="8" t="s">
        <v>29</v>
      </c>
      <c r="D50" s="9" t="s">
        <v>280</v>
      </c>
      <c r="E50" s="9" t="s">
        <v>281</v>
      </c>
      <c r="F50" s="9" t="s">
        <v>282</v>
      </c>
      <c r="G50" s="9" t="s">
        <v>41</v>
      </c>
      <c r="H50" s="9" t="s">
        <v>189</v>
      </c>
      <c r="I50" s="7" t="s">
        <v>35</v>
      </c>
      <c r="J50" s="7"/>
    </row>
    <row r="51" spans="1:10" ht="60" customHeight="1" x14ac:dyDescent="0.35">
      <c r="A51" s="7" t="s">
        <v>283</v>
      </c>
      <c r="B51" s="8" t="s">
        <v>284</v>
      </c>
      <c r="C51" s="8" t="s">
        <v>29</v>
      </c>
      <c r="D51" s="9" t="s">
        <v>285</v>
      </c>
      <c r="E51" s="9" t="s">
        <v>286</v>
      </c>
      <c r="F51" s="9" t="s">
        <v>287</v>
      </c>
      <c r="G51" s="9" t="s">
        <v>210</v>
      </c>
      <c r="H51" s="9" t="s">
        <v>288</v>
      </c>
      <c r="I51" s="7" t="s">
        <v>35</v>
      </c>
      <c r="J51" s="7"/>
    </row>
    <row r="52" spans="1:10" ht="60" customHeight="1" x14ac:dyDescent="0.35">
      <c r="A52" s="7" t="s">
        <v>289</v>
      </c>
      <c r="B52" s="8" t="s">
        <v>290</v>
      </c>
      <c r="C52" s="8" t="s">
        <v>29</v>
      </c>
      <c r="D52" s="9" t="s">
        <v>291</v>
      </c>
      <c r="E52" s="9" t="s">
        <v>292</v>
      </c>
      <c r="F52" s="9" t="s">
        <v>293</v>
      </c>
      <c r="G52" s="9" t="s">
        <v>210</v>
      </c>
      <c r="H52" s="9" t="s">
        <v>294</v>
      </c>
      <c r="I52" s="7" t="s">
        <v>35</v>
      </c>
      <c r="J52" s="7" t="s">
        <v>35</v>
      </c>
    </row>
    <row r="53" spans="1:10" ht="60" customHeight="1" x14ac:dyDescent="0.35">
      <c r="A53" s="7" t="s">
        <v>295</v>
      </c>
      <c r="B53" s="8" t="s">
        <v>296</v>
      </c>
      <c r="C53" s="8" t="s">
        <v>29</v>
      </c>
      <c r="D53" s="9" t="s">
        <v>297</v>
      </c>
      <c r="E53" s="9" t="s">
        <v>298</v>
      </c>
      <c r="F53" s="9" t="s">
        <v>299</v>
      </c>
      <c r="G53" s="9" t="s">
        <v>210</v>
      </c>
      <c r="H53" s="9" t="s">
        <v>300</v>
      </c>
      <c r="I53" s="7" t="s">
        <v>35</v>
      </c>
      <c r="J53" s="7" t="s">
        <v>35</v>
      </c>
    </row>
    <row r="54" spans="1:10" ht="60" customHeight="1" x14ac:dyDescent="0.35">
      <c r="A54" s="7" t="s">
        <v>301</v>
      </c>
      <c r="B54" s="8" t="s">
        <v>296</v>
      </c>
      <c r="C54" s="8" t="s">
        <v>29</v>
      </c>
      <c r="D54" s="9" t="s">
        <v>302</v>
      </c>
      <c r="E54" s="9" t="s">
        <v>303</v>
      </c>
      <c r="F54" s="9" t="s">
        <v>304</v>
      </c>
      <c r="G54" s="9" t="s">
        <v>210</v>
      </c>
      <c r="H54" s="9" t="s">
        <v>305</v>
      </c>
      <c r="I54" s="7" t="s">
        <v>35</v>
      </c>
      <c r="J54" s="7"/>
    </row>
    <row r="55" spans="1:10" ht="60" customHeight="1" x14ac:dyDescent="0.35">
      <c r="A55" s="7" t="s">
        <v>306</v>
      </c>
      <c r="B55" s="8" t="s">
        <v>307</v>
      </c>
      <c r="C55" s="8" t="s">
        <v>29</v>
      </c>
      <c r="D55" s="9" t="s">
        <v>308</v>
      </c>
      <c r="E55" s="9" t="s">
        <v>309</v>
      </c>
      <c r="F55" s="9" t="s">
        <v>310</v>
      </c>
      <c r="G55" s="9" t="s">
        <v>210</v>
      </c>
      <c r="H55" s="9" t="s">
        <v>311</v>
      </c>
      <c r="I55" s="7" t="s">
        <v>35</v>
      </c>
      <c r="J55" s="7"/>
    </row>
    <row r="56" spans="1:10" ht="60" customHeight="1" x14ac:dyDescent="0.35">
      <c r="A56" s="7" t="s">
        <v>312</v>
      </c>
      <c r="B56" s="8" t="s">
        <v>37</v>
      </c>
      <c r="C56" s="8" t="s">
        <v>29</v>
      </c>
      <c r="D56" s="9" t="s">
        <v>313</v>
      </c>
      <c r="E56" s="9" t="s">
        <v>314</v>
      </c>
      <c r="F56" s="9" t="s">
        <v>315</v>
      </c>
      <c r="G56" s="9" t="s">
        <v>41</v>
      </c>
      <c r="H56" s="9" t="s">
        <v>316</v>
      </c>
      <c r="I56" s="7" t="s">
        <v>35</v>
      </c>
      <c r="J56" s="7"/>
    </row>
    <row r="57" spans="1:10" ht="60" customHeight="1" x14ac:dyDescent="0.35">
      <c r="A57" s="7" t="s">
        <v>317</v>
      </c>
      <c r="B57" s="8" t="s">
        <v>37</v>
      </c>
      <c r="C57" s="8" t="s">
        <v>29</v>
      </c>
      <c r="D57" s="9" t="s">
        <v>318</v>
      </c>
      <c r="E57" s="9" t="s">
        <v>319</v>
      </c>
      <c r="F57" s="9" t="s">
        <v>320</v>
      </c>
      <c r="G57" s="9" t="s">
        <v>41</v>
      </c>
      <c r="H57" s="9" t="s">
        <v>316</v>
      </c>
      <c r="I57" s="7" t="s">
        <v>35</v>
      </c>
      <c r="J57" s="7"/>
    </row>
    <row r="58" spans="1:10" ht="60" customHeight="1" x14ac:dyDescent="0.35">
      <c r="A58" s="7" t="s">
        <v>321</v>
      </c>
      <c r="B58" s="8" t="s">
        <v>37</v>
      </c>
      <c r="C58" s="8" t="s">
        <v>29</v>
      </c>
      <c r="D58" s="9" t="s">
        <v>322</v>
      </c>
      <c r="E58" s="9" t="s">
        <v>323</v>
      </c>
      <c r="F58" s="9" t="s">
        <v>324</v>
      </c>
      <c r="G58" s="9" t="s">
        <v>41</v>
      </c>
      <c r="H58" s="9" t="s">
        <v>325</v>
      </c>
      <c r="I58" s="7" t="s">
        <v>35</v>
      </c>
      <c r="J58" s="7"/>
    </row>
    <row r="59" spans="1:10" ht="60" customHeight="1" x14ac:dyDescent="0.35">
      <c r="A59" s="7" t="s">
        <v>326</v>
      </c>
      <c r="B59" s="8" t="s">
        <v>37</v>
      </c>
      <c r="C59" s="8" t="s">
        <v>29</v>
      </c>
      <c r="D59" s="9" t="s">
        <v>327</v>
      </c>
      <c r="E59" s="9" t="s">
        <v>328</v>
      </c>
      <c r="F59" s="9" t="s">
        <v>329</v>
      </c>
      <c r="G59" s="9" t="s">
        <v>41</v>
      </c>
      <c r="H59" s="9" t="s">
        <v>325</v>
      </c>
      <c r="I59" s="7" t="s">
        <v>35</v>
      </c>
      <c r="J59" s="7"/>
    </row>
    <row r="60" spans="1:10" ht="60" customHeight="1" x14ac:dyDescent="0.35">
      <c r="A60" s="7" t="s">
        <v>330</v>
      </c>
      <c r="B60" s="8" t="s">
        <v>37</v>
      </c>
      <c r="C60" s="8" t="s">
        <v>29</v>
      </c>
      <c r="D60" s="9" t="s">
        <v>331</v>
      </c>
      <c r="E60" s="9" t="s">
        <v>332</v>
      </c>
      <c r="F60" s="9" t="s">
        <v>333</v>
      </c>
      <c r="G60" s="9" t="s">
        <v>41</v>
      </c>
      <c r="H60" s="9" t="s">
        <v>334</v>
      </c>
      <c r="I60" s="7" t="s">
        <v>35</v>
      </c>
      <c r="J60" s="7" t="s">
        <v>35</v>
      </c>
    </row>
    <row r="61" spans="1:10" ht="60" customHeight="1" x14ac:dyDescent="0.35">
      <c r="A61" s="7" t="s">
        <v>335</v>
      </c>
      <c r="B61" s="8" t="s">
        <v>37</v>
      </c>
      <c r="C61" s="8" t="s">
        <v>29</v>
      </c>
      <c r="D61" s="9" t="s">
        <v>336</v>
      </c>
      <c r="E61" s="9" t="s">
        <v>337</v>
      </c>
      <c r="F61" s="9" t="s">
        <v>338</v>
      </c>
      <c r="G61" s="9" t="s">
        <v>41</v>
      </c>
      <c r="H61" s="9" t="s">
        <v>189</v>
      </c>
      <c r="I61" s="7" t="s">
        <v>35</v>
      </c>
      <c r="J61" s="7"/>
    </row>
    <row r="62" spans="1:10" ht="60" customHeight="1" x14ac:dyDescent="0.35">
      <c r="A62" s="7" t="s">
        <v>339</v>
      </c>
      <c r="B62" s="8" t="s">
        <v>37</v>
      </c>
      <c r="C62" s="8" t="s">
        <v>29</v>
      </c>
      <c r="D62" s="9" t="s">
        <v>340</v>
      </c>
      <c r="E62" s="9" t="s">
        <v>341</v>
      </c>
      <c r="F62" s="9" t="s">
        <v>342</v>
      </c>
      <c r="G62" s="9" t="s">
        <v>41</v>
      </c>
      <c r="H62" s="9" t="s">
        <v>189</v>
      </c>
      <c r="I62" s="7" t="s">
        <v>35</v>
      </c>
      <c r="J62" s="7"/>
    </row>
    <row r="63" spans="1:10" ht="60" customHeight="1" x14ac:dyDescent="0.35">
      <c r="A63" s="7" t="s">
        <v>343</v>
      </c>
      <c r="B63" s="8" t="s">
        <v>37</v>
      </c>
      <c r="C63" s="8" t="s">
        <v>29</v>
      </c>
      <c r="D63" s="9" t="s">
        <v>344</v>
      </c>
      <c r="E63" s="9" t="s">
        <v>345</v>
      </c>
      <c r="F63" s="9" t="s">
        <v>346</v>
      </c>
      <c r="G63" s="9" t="s">
        <v>41</v>
      </c>
      <c r="H63" s="9" t="s">
        <v>189</v>
      </c>
      <c r="I63" s="7" t="s">
        <v>35</v>
      </c>
      <c r="J63" s="7"/>
    </row>
    <row r="64" spans="1:10" ht="60" customHeight="1" x14ac:dyDescent="0.35">
      <c r="A64" s="7" t="s">
        <v>347</v>
      </c>
      <c r="B64" s="8" t="s">
        <v>37</v>
      </c>
      <c r="C64" s="8" t="s">
        <v>29</v>
      </c>
      <c r="D64" s="9" t="s">
        <v>348</v>
      </c>
      <c r="E64" s="9" t="s">
        <v>349</v>
      </c>
      <c r="F64" s="9" t="s">
        <v>350</v>
      </c>
      <c r="G64" s="9" t="s">
        <v>41</v>
      </c>
      <c r="H64" s="9" t="s">
        <v>189</v>
      </c>
      <c r="I64" s="7" t="s">
        <v>35</v>
      </c>
      <c r="J64" s="7"/>
    </row>
    <row r="65" spans="1:10" ht="60" customHeight="1" x14ac:dyDescent="0.35">
      <c r="A65" s="7" t="s">
        <v>351</v>
      </c>
      <c r="B65" s="8" t="s">
        <v>227</v>
      </c>
      <c r="C65" s="8" t="s">
        <v>29</v>
      </c>
      <c r="D65" s="9" t="s">
        <v>352</v>
      </c>
      <c r="E65" s="9" t="s">
        <v>353</v>
      </c>
      <c r="F65" s="9" t="s">
        <v>354</v>
      </c>
      <c r="G65" s="9" t="s">
        <v>41</v>
      </c>
      <c r="H65" s="9" t="s">
        <v>355</v>
      </c>
      <c r="I65" s="7" t="s">
        <v>35</v>
      </c>
      <c r="J65" s="7"/>
    </row>
    <row r="66" spans="1:10" ht="60" customHeight="1" x14ac:dyDescent="0.35">
      <c r="A66" s="7" t="s">
        <v>356</v>
      </c>
      <c r="B66" s="8" t="s">
        <v>227</v>
      </c>
      <c r="C66" s="8" t="s">
        <v>29</v>
      </c>
      <c r="D66" s="9" t="s">
        <v>357</v>
      </c>
      <c r="E66" s="9" t="s">
        <v>358</v>
      </c>
      <c r="F66" s="9" t="s">
        <v>359</v>
      </c>
      <c r="G66" s="9" t="s">
        <v>41</v>
      </c>
      <c r="H66" s="9" t="s">
        <v>360</v>
      </c>
      <c r="I66" s="7" t="s">
        <v>35</v>
      </c>
      <c r="J66" s="7"/>
    </row>
    <row r="67" spans="1:10" ht="60" customHeight="1" x14ac:dyDescent="0.35">
      <c r="A67" s="7" t="s">
        <v>361</v>
      </c>
      <c r="B67" s="8" t="s">
        <v>127</v>
      </c>
      <c r="C67" s="8" t="s">
        <v>29</v>
      </c>
      <c r="D67" s="9" t="s">
        <v>362</v>
      </c>
      <c r="E67" s="9" t="s">
        <v>363</v>
      </c>
      <c r="F67" s="9" t="s">
        <v>364</v>
      </c>
      <c r="G67" s="9" t="s">
        <v>41</v>
      </c>
      <c r="H67" s="9" t="s">
        <v>365</v>
      </c>
      <c r="I67" s="7" t="s">
        <v>35</v>
      </c>
      <c r="J67" s="7"/>
    </row>
    <row r="68" spans="1:10" ht="60" customHeight="1" x14ac:dyDescent="0.35">
      <c r="A68" s="7" t="s">
        <v>366</v>
      </c>
      <c r="B68" s="8" t="s">
        <v>127</v>
      </c>
      <c r="C68" s="8" t="s">
        <v>29</v>
      </c>
      <c r="D68" s="9" t="s">
        <v>367</v>
      </c>
      <c r="E68" s="9" t="s">
        <v>368</v>
      </c>
      <c r="F68" s="9" t="s">
        <v>369</v>
      </c>
      <c r="G68" s="9" t="s">
        <v>41</v>
      </c>
      <c r="H68" s="9" t="s">
        <v>370</v>
      </c>
      <c r="I68" s="7" t="s">
        <v>35</v>
      </c>
      <c r="J68" s="7"/>
    </row>
    <row r="69" spans="1:10" ht="60" customHeight="1" x14ac:dyDescent="0.35">
      <c r="A69" s="7" t="s">
        <v>371</v>
      </c>
      <c r="B69" s="8" t="s">
        <v>372</v>
      </c>
      <c r="C69" s="8" t="s">
        <v>29</v>
      </c>
      <c r="D69" s="9" t="s">
        <v>373</v>
      </c>
      <c r="E69" s="9" t="s">
        <v>374</v>
      </c>
      <c r="F69" s="9" t="s">
        <v>375</v>
      </c>
      <c r="G69" s="9" t="s">
        <v>41</v>
      </c>
      <c r="H69" s="9" t="s">
        <v>376</v>
      </c>
      <c r="I69" s="7" t="s">
        <v>35</v>
      </c>
      <c r="J69" s="7"/>
    </row>
    <row r="70" spans="1:10" ht="60" customHeight="1" x14ac:dyDescent="0.35">
      <c r="A70" s="7" t="s">
        <v>377</v>
      </c>
      <c r="B70" s="8" t="s">
        <v>372</v>
      </c>
      <c r="C70" s="8" t="s">
        <v>29</v>
      </c>
      <c r="D70" s="9" t="s">
        <v>378</v>
      </c>
      <c r="E70" s="9" t="s">
        <v>379</v>
      </c>
      <c r="F70" s="9" t="s">
        <v>380</v>
      </c>
      <c r="G70" s="9" t="s">
        <v>41</v>
      </c>
      <c r="H70" s="9" t="s">
        <v>376</v>
      </c>
      <c r="I70" s="7" t="s">
        <v>35</v>
      </c>
      <c r="J70" s="7"/>
    </row>
    <row r="71" spans="1:10" ht="60" customHeight="1" x14ac:dyDescent="0.35">
      <c r="A71" s="7" t="s">
        <v>381</v>
      </c>
      <c r="B71" s="8" t="s">
        <v>372</v>
      </c>
      <c r="C71" s="8" t="s">
        <v>29</v>
      </c>
      <c r="D71" s="9" t="s">
        <v>382</v>
      </c>
      <c r="E71" s="9" t="s">
        <v>383</v>
      </c>
      <c r="F71" s="9" t="s">
        <v>384</v>
      </c>
      <c r="G71" s="9" t="s">
        <v>41</v>
      </c>
      <c r="H71" s="9" t="s">
        <v>376</v>
      </c>
      <c r="I71" s="7" t="s">
        <v>35</v>
      </c>
      <c r="J71" s="7"/>
    </row>
    <row r="72" spans="1:10" ht="60" customHeight="1" x14ac:dyDescent="0.35">
      <c r="A72" s="7" t="s">
        <v>385</v>
      </c>
      <c r="B72" s="8" t="s">
        <v>28</v>
      </c>
      <c r="C72" s="8" t="s">
        <v>29</v>
      </c>
      <c r="D72" s="9" t="s">
        <v>386</v>
      </c>
      <c r="E72" s="9" t="s">
        <v>387</v>
      </c>
      <c r="F72" s="9" t="s">
        <v>388</v>
      </c>
      <c r="G72" s="9" t="s">
        <v>41</v>
      </c>
      <c r="H72" s="9" t="s">
        <v>389</v>
      </c>
      <c r="I72" s="7" t="s">
        <v>35</v>
      </c>
      <c r="J72" s="7"/>
    </row>
    <row r="73" spans="1:10" ht="60" customHeight="1" x14ac:dyDescent="0.35">
      <c r="A73" s="7" t="s">
        <v>390</v>
      </c>
      <c r="B73" s="8" t="s">
        <v>28</v>
      </c>
      <c r="C73" s="8" t="s">
        <v>29</v>
      </c>
      <c r="D73" s="9" t="s">
        <v>391</v>
      </c>
      <c r="E73" s="9" t="s">
        <v>392</v>
      </c>
      <c r="F73" s="9" t="s">
        <v>393</v>
      </c>
      <c r="G73" s="9" t="s">
        <v>41</v>
      </c>
      <c r="H73" s="9" t="s">
        <v>255</v>
      </c>
      <c r="I73" s="7" t="s">
        <v>35</v>
      </c>
      <c r="J73" s="7"/>
    </row>
    <row r="74" spans="1:10" ht="60" customHeight="1" x14ac:dyDescent="0.35">
      <c r="A74" s="7" t="s">
        <v>394</v>
      </c>
      <c r="B74" s="8" t="s">
        <v>28</v>
      </c>
      <c r="C74" s="8" t="s">
        <v>29</v>
      </c>
      <c r="D74" s="9" t="s">
        <v>395</v>
      </c>
      <c r="E74" s="9" t="s">
        <v>396</v>
      </c>
      <c r="F74" s="9" t="s">
        <v>397</v>
      </c>
      <c r="G74" s="9" t="s">
        <v>41</v>
      </c>
      <c r="H74" s="9" t="s">
        <v>255</v>
      </c>
      <c r="I74" s="7" t="s">
        <v>35</v>
      </c>
      <c r="J74" s="7"/>
    </row>
    <row r="75" spans="1:10" ht="60" customHeight="1" x14ac:dyDescent="0.35">
      <c r="A75" s="7" t="s">
        <v>398</v>
      </c>
      <c r="B75" s="8" t="s">
        <v>399</v>
      </c>
      <c r="C75" s="8" t="s">
        <v>29</v>
      </c>
      <c r="D75" s="9" t="s">
        <v>400</v>
      </c>
      <c r="E75" s="9" t="s">
        <v>401</v>
      </c>
      <c r="F75" s="9" t="s">
        <v>402</v>
      </c>
      <c r="G75" s="9" t="s">
        <v>210</v>
      </c>
      <c r="H75" s="9" t="s">
        <v>403</v>
      </c>
      <c r="I75" s="7" t="s">
        <v>35</v>
      </c>
      <c r="J75" s="7" t="s">
        <v>35</v>
      </c>
    </row>
    <row r="76" spans="1:10" ht="60" customHeight="1" x14ac:dyDescent="0.35">
      <c r="A76" s="7" t="s">
        <v>404</v>
      </c>
      <c r="B76" s="8" t="s">
        <v>399</v>
      </c>
      <c r="C76" s="8" t="s">
        <v>29</v>
      </c>
      <c r="D76" s="9" t="s">
        <v>405</v>
      </c>
      <c r="E76" s="9" t="s">
        <v>406</v>
      </c>
      <c r="F76" s="9" t="s">
        <v>407</v>
      </c>
      <c r="G76" s="9" t="s">
        <v>210</v>
      </c>
      <c r="H76" s="9" t="s">
        <v>408</v>
      </c>
      <c r="I76" s="7" t="s">
        <v>35</v>
      </c>
      <c r="J76" s="7"/>
    </row>
    <row r="77" spans="1:10" ht="60" customHeight="1" x14ac:dyDescent="0.35">
      <c r="A77" s="7" t="s">
        <v>409</v>
      </c>
      <c r="B77" s="8" t="s">
        <v>399</v>
      </c>
      <c r="C77" s="8" t="s">
        <v>29</v>
      </c>
      <c r="D77" s="9" t="s">
        <v>410</v>
      </c>
      <c r="E77" s="9" t="s">
        <v>411</v>
      </c>
      <c r="F77" s="9" t="s">
        <v>412</v>
      </c>
      <c r="G77" s="9" t="s">
        <v>210</v>
      </c>
      <c r="H77" s="9" t="s">
        <v>413</v>
      </c>
      <c r="I77" s="7" t="s">
        <v>35</v>
      </c>
      <c r="J77" s="7"/>
    </row>
    <row r="78" spans="1:10" ht="60" customHeight="1" x14ac:dyDescent="0.35">
      <c r="A78" s="7" t="s">
        <v>414</v>
      </c>
      <c r="B78" s="8" t="s">
        <v>399</v>
      </c>
      <c r="C78" s="8" t="s">
        <v>29</v>
      </c>
      <c r="D78" s="9" t="s">
        <v>415</v>
      </c>
      <c r="E78" s="9" t="s">
        <v>416</v>
      </c>
      <c r="F78" s="9" t="s">
        <v>417</v>
      </c>
      <c r="G78" s="9" t="s">
        <v>41</v>
      </c>
      <c r="H78" s="9" t="s">
        <v>334</v>
      </c>
      <c r="I78" s="7" t="s">
        <v>35</v>
      </c>
      <c r="J78" s="7"/>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09"/>
  <sheetViews>
    <sheetView showGridLines="0" tabSelected="1" zoomScaleNormal="100" workbookViewId="0">
      <pane xSplit="2" ySplit="1" topLeftCell="H2" activePane="bottomRight" state="frozen"/>
      <selection pane="topRight" activeCell="C1" sqref="C1"/>
      <selection pane="bottomLeft" activeCell="A2" sqref="A2"/>
      <selection pane="bottomRight" activeCell="N1" sqref="N1:N1048576"/>
    </sheetView>
  </sheetViews>
  <sheetFormatPr defaultColWidth="8.6328125" defaultRowHeight="14.5" x14ac:dyDescent="0.35"/>
  <cols>
    <col min="1" max="1" width="6" style="1" customWidth="1"/>
    <col min="2" max="2" width="9" style="1" customWidth="1"/>
    <col min="3" max="3" width="30" style="1" customWidth="1"/>
    <col min="4" max="4" width="16" style="1" customWidth="1"/>
    <col min="5" max="6" width="12" style="1" customWidth="1"/>
    <col min="7" max="7" width="46" style="1" customWidth="1"/>
    <col min="8" max="8" width="9" style="1" customWidth="1"/>
    <col min="9" max="9" width="13" style="1" customWidth="1"/>
    <col min="10" max="10" width="11" style="1" customWidth="1"/>
    <col min="11" max="11" width="18" style="1" customWidth="1"/>
    <col min="12" max="12" width="11" style="1" customWidth="1"/>
    <col min="13" max="13" width="10" style="1" customWidth="1"/>
    <col min="14" max="14" width="26" style="1" customWidth="1"/>
  </cols>
  <sheetData>
    <row r="1" spans="1:14" ht="43.5" customHeight="1" x14ac:dyDescent="0.35">
      <c r="A1" s="6" t="s">
        <v>418</v>
      </c>
      <c r="B1" s="6" t="s">
        <v>17</v>
      </c>
      <c r="C1" s="6" t="s">
        <v>419</v>
      </c>
      <c r="D1" s="6" t="s">
        <v>420</v>
      </c>
      <c r="E1" s="6" t="s">
        <v>421</v>
      </c>
      <c r="F1" s="6" t="s">
        <v>422</v>
      </c>
      <c r="G1" s="6" t="s">
        <v>423</v>
      </c>
      <c r="H1" s="6" t="s">
        <v>424</v>
      </c>
      <c r="I1" s="6" t="s">
        <v>425</v>
      </c>
      <c r="J1" s="6" t="s">
        <v>426</v>
      </c>
      <c r="K1" s="6" t="s">
        <v>427</v>
      </c>
      <c r="L1" s="6" t="s">
        <v>428</v>
      </c>
      <c r="M1" s="6" t="s">
        <v>429</v>
      </c>
      <c r="N1" s="6" t="s">
        <v>430</v>
      </c>
    </row>
    <row r="2" spans="1:14" ht="15.75" customHeight="1" x14ac:dyDescent="0.35">
      <c r="A2" s="7">
        <v>1</v>
      </c>
      <c r="B2" s="7" t="s">
        <v>27</v>
      </c>
      <c r="C2" s="9" t="str">
        <f>IFERROR(INDEX('Item Bank'!D3:$D$78,MATCH($B2,'Item Bank'!$A$2:$A$78,0)),"")</f>
        <v>Who is Abba Serecho (Abba Sarecho) in Kambaata traditional religion?</v>
      </c>
      <c r="D2" s="9" t="str">
        <f>IFERROR(INDEX('Item Bank'!$B$2:$B$78,MATCH($B2,'Item Bank'!$A$2:$A$78,0)),"")</f>
        <v>Traditional Governance</v>
      </c>
      <c r="E2" s="7" t="s">
        <v>431</v>
      </c>
      <c r="F2" s="10">
        <v>46244</v>
      </c>
      <c r="G2" s="11" t="s">
        <v>432</v>
      </c>
      <c r="H2" s="12">
        <v>1</v>
      </c>
      <c r="I2" s="12" t="s">
        <v>433</v>
      </c>
      <c r="J2" s="12">
        <v>2</v>
      </c>
      <c r="K2" s="13"/>
      <c r="L2" s="12" t="s">
        <v>434</v>
      </c>
      <c r="M2" s="12"/>
      <c r="N2" s="11"/>
    </row>
    <row r="3" spans="1:14" ht="15.75" customHeight="1" x14ac:dyDescent="0.35">
      <c r="A3" s="7">
        <v>2</v>
      </c>
      <c r="B3" s="7" t="s">
        <v>27</v>
      </c>
      <c r="C3" s="9" t="str">
        <f>IFERROR(INDEX('Item Bank'!$D$2:$D$78,MATCH($B3,'Item Bank'!$A$2:$A$78,0)),"")</f>
        <v>Who is the Woma in Kambaata culture?</v>
      </c>
      <c r="D3" s="9" t="str">
        <f>IFERROR(INDEX('Item Bank'!$B$2:$B$78,MATCH($B3,'Item Bank'!$A$2:$A$78,0)),"")</f>
        <v>Traditional Governance</v>
      </c>
      <c r="E3" s="7" t="s">
        <v>435</v>
      </c>
      <c r="F3" s="10">
        <v>46244</v>
      </c>
      <c r="G3" s="11" t="s">
        <v>436</v>
      </c>
      <c r="H3" s="12">
        <v>4</v>
      </c>
      <c r="I3" s="12" t="s">
        <v>437</v>
      </c>
      <c r="J3" s="12">
        <v>1</v>
      </c>
      <c r="K3" s="13"/>
      <c r="L3" s="12" t="s">
        <v>434</v>
      </c>
      <c r="M3" s="12"/>
      <c r="N3" s="11"/>
    </row>
    <row r="4" spans="1:14" ht="15.75" customHeight="1" x14ac:dyDescent="0.35">
      <c r="A4" s="7">
        <v>3</v>
      </c>
      <c r="B4" s="7" t="s">
        <v>27</v>
      </c>
      <c r="C4" s="9" t="str">
        <f>IFERROR(INDEX('Item Bank'!$D$2:$D$78,MATCH($B4,'Item Bank'!$A$2:$A$78,0)),"")</f>
        <v>Who is the Woma in Kambaata culture?</v>
      </c>
      <c r="D4" s="9" t="str">
        <f>IFERROR(INDEX('Item Bank'!$B$2:$B$78,MATCH($B4,'Item Bank'!$A$2:$A$78,0)),"")</f>
        <v>Traditional Governance</v>
      </c>
      <c r="E4" s="7" t="s">
        <v>438</v>
      </c>
      <c r="F4" s="10">
        <v>46245</v>
      </c>
      <c r="G4" s="11" t="s">
        <v>439</v>
      </c>
      <c r="H4" s="12">
        <v>4</v>
      </c>
      <c r="I4" s="12" t="s">
        <v>437</v>
      </c>
      <c r="J4" s="12">
        <v>1</v>
      </c>
      <c r="K4" s="13"/>
      <c r="L4" s="12" t="s">
        <v>434</v>
      </c>
      <c r="M4" s="12"/>
      <c r="N4" s="11"/>
    </row>
    <row r="5" spans="1:14" ht="15.75" customHeight="1" x14ac:dyDescent="0.35">
      <c r="A5" s="7">
        <v>4</v>
      </c>
      <c r="B5" s="7" t="s">
        <v>27</v>
      </c>
      <c r="C5" s="9" t="str">
        <f>IFERROR(INDEX('Item Bank'!$D$2:$D$78,MATCH($B5,'Item Bank'!$A$2:$A$78,0)),"")</f>
        <v>Who is the Woma in Kambaata culture?</v>
      </c>
      <c r="D5" s="9" t="str">
        <f>IFERROR(INDEX('Item Bank'!$B$2:$B$78,MATCH($B5,'Item Bank'!$A$2:$A$78,0)),"")</f>
        <v>Traditional Governance</v>
      </c>
      <c r="E5" s="7" t="s">
        <v>440</v>
      </c>
      <c r="F5" s="10">
        <v>46244</v>
      </c>
      <c r="G5" s="11" t="s">
        <v>441</v>
      </c>
      <c r="H5" s="12">
        <v>3</v>
      </c>
      <c r="I5" s="12" t="s">
        <v>442</v>
      </c>
      <c r="J5" s="12">
        <v>0</v>
      </c>
      <c r="K5" s="13"/>
      <c r="L5" s="12" t="s">
        <v>434</v>
      </c>
      <c r="M5" s="12"/>
      <c r="N5" s="11"/>
    </row>
    <row r="6" spans="1:14" ht="15.75" customHeight="1" x14ac:dyDescent="0.35">
      <c r="A6" s="7">
        <v>5</v>
      </c>
      <c r="B6" s="7" t="s">
        <v>36</v>
      </c>
      <c r="C6" s="9" t="str">
        <f>IFERROR(INDEX('Item Bank'!$D$2:$D$78,MATCH($B6,'Item Bank'!$A$2:$A$78,0)),"")</f>
        <v>Who is Abba Serecho (Abba Sarecho) in Kambaata traditional religion?</v>
      </c>
      <c r="D6" s="9" t="str">
        <f>IFERROR(INDEX('Item Bank'!$B$2:$B$78,MATCH($B6,'Item Bank'!$A$2:$A$78,0)),"")</f>
        <v>Traditional Religion</v>
      </c>
      <c r="E6" s="7" t="s">
        <v>431</v>
      </c>
      <c r="F6" s="10">
        <v>46244</v>
      </c>
      <c r="G6" s="11" t="s">
        <v>443</v>
      </c>
      <c r="H6" s="12">
        <v>2</v>
      </c>
      <c r="I6" s="12" t="s">
        <v>444</v>
      </c>
      <c r="J6" s="12">
        <v>0</v>
      </c>
      <c r="K6" s="13"/>
      <c r="L6" s="12" t="s">
        <v>434</v>
      </c>
      <c r="M6" s="12"/>
      <c r="N6" s="11"/>
    </row>
    <row r="7" spans="1:14" ht="15.75" customHeight="1" x14ac:dyDescent="0.35">
      <c r="A7" s="7">
        <v>6</v>
      </c>
      <c r="B7" s="7" t="s">
        <v>36</v>
      </c>
      <c r="C7" s="9" t="str">
        <f>IFERROR(INDEX('Item Bank'!$D$2:$D$78,MATCH($B7,'Item Bank'!$A$2:$A$78,0)),"")</f>
        <v>Who is Abba Serecho (Abba Sarecho) in Kambaata traditional religion?</v>
      </c>
      <c r="D7" s="9" t="str">
        <f>IFERROR(INDEX('Item Bank'!$B$2:$B$78,MATCH($B7,'Item Bank'!$A$2:$A$78,0)),"")</f>
        <v>Traditional Religion</v>
      </c>
      <c r="E7" s="7" t="s">
        <v>435</v>
      </c>
      <c r="F7" s="10">
        <v>46245</v>
      </c>
      <c r="G7" s="11" t="s">
        <v>445</v>
      </c>
      <c r="H7" s="12">
        <v>2</v>
      </c>
      <c r="I7" s="12" t="s">
        <v>442</v>
      </c>
      <c r="J7" s="12">
        <v>1</v>
      </c>
      <c r="K7" s="13" t="s">
        <v>446</v>
      </c>
      <c r="L7" s="12" t="s">
        <v>434</v>
      </c>
      <c r="M7" s="12"/>
      <c r="N7" s="11"/>
    </row>
    <row r="8" spans="1:14" ht="15.75" customHeight="1" x14ac:dyDescent="0.35">
      <c r="A8" s="7">
        <v>7</v>
      </c>
      <c r="B8" s="7" t="s">
        <v>36</v>
      </c>
      <c r="C8" s="9" t="str">
        <f>IFERROR(INDEX('Item Bank'!$D$2:$D$78,MATCH($B8,'Item Bank'!$A$2:$A$78,0)),"")</f>
        <v>Who is Abba Serecho (Abba Sarecho) in Kambaata traditional religion?</v>
      </c>
      <c r="D8" s="9" t="str">
        <f>IFERROR(INDEX('Item Bank'!$B$2:$B$78,MATCH($B8,'Item Bank'!$A$2:$A$78,0)),"")</f>
        <v>Traditional Religion</v>
      </c>
      <c r="E8" s="7" t="s">
        <v>438</v>
      </c>
      <c r="F8" s="10">
        <v>46245</v>
      </c>
      <c r="G8" s="11" t="s">
        <v>447</v>
      </c>
      <c r="H8" s="12">
        <v>2</v>
      </c>
      <c r="I8" s="12" t="s">
        <v>448</v>
      </c>
      <c r="J8" s="12">
        <v>0</v>
      </c>
      <c r="K8" s="13"/>
      <c r="L8" s="12" t="s">
        <v>434</v>
      </c>
      <c r="M8" s="12"/>
      <c r="N8" s="11"/>
    </row>
    <row r="9" spans="1:14" ht="15.75" customHeight="1" x14ac:dyDescent="0.35">
      <c r="A9" s="7">
        <v>8</v>
      </c>
      <c r="B9" s="7" t="s">
        <v>36</v>
      </c>
      <c r="C9" s="9" t="str">
        <f>IFERROR(INDEX('Item Bank'!$D$2:$D$78,MATCH($B9,'Item Bank'!$A$2:$A$78,0)),"")</f>
        <v>Who is Abba Serecho (Abba Sarecho) in Kambaata traditional religion?</v>
      </c>
      <c r="D9" s="9" t="str">
        <f>IFERROR(INDEX('Item Bank'!$B$2:$B$78,MATCH($B9,'Item Bank'!$A$2:$A$78,0)),"")</f>
        <v>Traditional Religion</v>
      </c>
      <c r="E9" s="7" t="s">
        <v>440</v>
      </c>
      <c r="F9" s="10">
        <v>46245</v>
      </c>
      <c r="G9" s="11" t="s">
        <v>449</v>
      </c>
      <c r="H9" s="12">
        <v>1</v>
      </c>
      <c r="I9" s="12" t="s">
        <v>448</v>
      </c>
      <c r="J9" s="12">
        <v>0</v>
      </c>
      <c r="K9" s="13"/>
      <c r="L9" s="12" t="s">
        <v>434</v>
      </c>
      <c r="M9" s="12"/>
      <c r="N9" s="11"/>
    </row>
    <row r="10" spans="1:14" ht="15.75" customHeight="1" x14ac:dyDescent="0.35">
      <c r="A10" s="7">
        <v>9</v>
      </c>
      <c r="B10" s="7" t="s">
        <v>43</v>
      </c>
      <c r="C10" s="9" t="str">
        <f>IFERROR(INDEX('Item Bank'!$D$2:$D$78,MATCH($B10,'Item Bank'!$A$2:$A$78,0)),"")</f>
        <v>What is Fandaano in Kambaata culture?</v>
      </c>
      <c r="D10" s="9" t="str">
        <f>IFERROR(INDEX('Item Bank'!$B$2:$B$78,MATCH($B10,'Item Bank'!$A$2:$A$78,0)),"")</f>
        <v>Traditional Religion</v>
      </c>
      <c r="E10" s="7" t="s">
        <v>431</v>
      </c>
      <c r="F10" s="10">
        <v>46244</v>
      </c>
      <c r="G10" s="11" t="s">
        <v>450</v>
      </c>
      <c r="H10" s="12">
        <v>1</v>
      </c>
      <c r="I10" s="12" t="s">
        <v>444</v>
      </c>
      <c r="J10" s="12">
        <v>0</v>
      </c>
      <c r="K10" s="13"/>
      <c r="L10" s="12" t="s">
        <v>434</v>
      </c>
      <c r="M10" s="12"/>
      <c r="N10" s="11"/>
    </row>
    <row r="11" spans="1:14" ht="15.75" customHeight="1" x14ac:dyDescent="0.35">
      <c r="A11" s="7">
        <v>10</v>
      </c>
      <c r="B11" s="7" t="s">
        <v>43</v>
      </c>
      <c r="C11" s="9" t="str">
        <f>IFERROR(INDEX('Item Bank'!$D$2:$D$78,MATCH($B11,'Item Bank'!$A$2:$A$78,0)),"")</f>
        <v>What is Fandaano in Kambaata culture?</v>
      </c>
      <c r="D11" s="9" t="str">
        <f>IFERROR(INDEX('Item Bank'!$B$2:$B$78,MATCH($B11,'Item Bank'!$A$2:$A$78,0)),"")</f>
        <v>Traditional Religion</v>
      </c>
      <c r="E11" s="7" t="s">
        <v>435</v>
      </c>
      <c r="F11" s="10">
        <v>46244</v>
      </c>
      <c r="G11" s="11" t="s">
        <v>451</v>
      </c>
      <c r="H11" s="12">
        <v>4</v>
      </c>
      <c r="I11" s="12" t="s">
        <v>444</v>
      </c>
      <c r="J11" s="12">
        <v>0</v>
      </c>
      <c r="K11" s="13"/>
      <c r="L11" s="12" t="s">
        <v>434</v>
      </c>
      <c r="M11" s="12"/>
      <c r="N11" s="11"/>
    </row>
    <row r="12" spans="1:14" ht="15.75" customHeight="1" x14ac:dyDescent="0.35">
      <c r="A12" s="7">
        <v>11</v>
      </c>
      <c r="B12" s="7" t="s">
        <v>43</v>
      </c>
      <c r="C12" s="9" t="str">
        <f>IFERROR(INDEX('Item Bank'!$D$2:$D$78,MATCH($B12,'Item Bank'!$A$2:$A$78,0)),"")</f>
        <v>What is Fandaano in Kambaata culture?</v>
      </c>
      <c r="D12" s="9" t="str">
        <f>IFERROR(INDEX('Item Bank'!$B$2:$B$78,MATCH($B12,'Item Bank'!$A$2:$A$78,0)),"")</f>
        <v>Traditional Religion</v>
      </c>
      <c r="E12" s="7" t="s">
        <v>438</v>
      </c>
      <c r="F12" s="10">
        <v>46245</v>
      </c>
      <c r="G12" s="11" t="s">
        <v>452</v>
      </c>
      <c r="H12" s="12">
        <v>1</v>
      </c>
      <c r="I12" s="12" t="s">
        <v>448</v>
      </c>
      <c r="J12" s="12">
        <v>0</v>
      </c>
      <c r="K12" s="13"/>
      <c r="L12" s="12" t="s">
        <v>434</v>
      </c>
      <c r="M12" s="12"/>
      <c r="N12" s="11"/>
    </row>
    <row r="13" spans="1:14" ht="15.75" customHeight="1" x14ac:dyDescent="0.35">
      <c r="A13" s="7">
        <v>12</v>
      </c>
      <c r="B13" s="7" t="s">
        <v>43</v>
      </c>
      <c r="C13" s="9" t="str">
        <f>IFERROR(INDEX('Item Bank'!$D$2:$D$78,MATCH($B13,'Item Bank'!$A$2:$A$78,0)),"")</f>
        <v>What is Fandaano in Kambaata culture?</v>
      </c>
      <c r="D13" s="9" t="str">
        <f>IFERROR(INDEX('Item Bank'!$B$2:$B$78,MATCH($B13,'Item Bank'!$A$2:$A$78,0)),"")</f>
        <v>Traditional Religion</v>
      </c>
      <c r="E13" s="7" t="s">
        <v>440</v>
      </c>
      <c r="F13" s="10">
        <v>46245</v>
      </c>
      <c r="G13" s="11" t="s">
        <v>453</v>
      </c>
      <c r="H13" s="12">
        <v>1</v>
      </c>
      <c r="I13" s="12" t="s">
        <v>448</v>
      </c>
      <c r="J13" s="12">
        <v>0</v>
      </c>
      <c r="K13" s="13"/>
      <c r="L13" s="12" t="s">
        <v>434</v>
      </c>
      <c r="M13" s="12"/>
      <c r="N13" s="11"/>
    </row>
    <row r="14" spans="1:14" ht="15.75" customHeight="1" x14ac:dyDescent="0.35">
      <c r="A14" s="7">
        <v>13</v>
      </c>
      <c r="B14" s="7" t="s">
        <v>48</v>
      </c>
      <c r="C14" s="9" t="str">
        <f>IFERROR(INDEX('Item Bank'!$D$2:$D$78,MATCH($B14,'Item Bank'!$A$2:$A$78,0)),"")</f>
        <v>Which Kambaata customary code of conduct was institutionalised by King Dilbato?</v>
      </c>
      <c r="D14" s="9" t="str">
        <f>IFERROR(INDEX('Item Bank'!$B$2:$B$78,MATCH($B14,'Item Bank'!$A$2:$A$78,0)),"")</f>
        <v>Customary Law</v>
      </c>
      <c r="E14" s="7" t="s">
        <v>431</v>
      </c>
      <c r="F14" s="10">
        <v>46244</v>
      </c>
      <c r="G14" s="11" t="s">
        <v>454</v>
      </c>
      <c r="H14" s="12">
        <v>3</v>
      </c>
      <c r="I14" s="12" t="s">
        <v>444</v>
      </c>
      <c r="J14" s="12">
        <v>0</v>
      </c>
      <c r="K14" s="13"/>
      <c r="L14" s="12" t="s">
        <v>434</v>
      </c>
      <c r="M14" s="12"/>
      <c r="N14" s="11"/>
    </row>
    <row r="15" spans="1:14" ht="15.75" customHeight="1" x14ac:dyDescent="0.35">
      <c r="A15" s="7">
        <v>14</v>
      </c>
      <c r="B15" s="7" t="s">
        <v>48</v>
      </c>
      <c r="C15" s="9" t="str">
        <f>IFERROR(INDEX('Item Bank'!$D$2:$D$78,MATCH($B15,'Item Bank'!$A$2:$A$78,0)),"")</f>
        <v>Which Kambaata customary code of conduct was institutionalised by King Dilbato?</v>
      </c>
      <c r="D15" s="9" t="str">
        <f>IFERROR(INDEX('Item Bank'!$B$2:$B$78,MATCH($B15,'Item Bank'!$A$2:$A$78,0)),"")</f>
        <v>Customary Law</v>
      </c>
      <c r="E15" s="7" t="s">
        <v>435</v>
      </c>
      <c r="F15" s="10">
        <v>46244</v>
      </c>
      <c r="G15" s="11" t="s">
        <v>455</v>
      </c>
      <c r="H15" s="12">
        <v>4</v>
      </c>
      <c r="I15" s="12" t="s">
        <v>444</v>
      </c>
      <c r="J15" s="12">
        <v>0</v>
      </c>
      <c r="K15" s="13"/>
      <c r="L15" s="12" t="s">
        <v>434</v>
      </c>
      <c r="M15" s="12"/>
      <c r="N15" s="11"/>
    </row>
    <row r="16" spans="1:14" ht="15.75" customHeight="1" x14ac:dyDescent="0.35">
      <c r="A16" s="7">
        <v>15</v>
      </c>
      <c r="B16" s="7" t="s">
        <v>48</v>
      </c>
      <c r="C16" s="9" t="str">
        <f>IFERROR(INDEX('Item Bank'!$D$2:$D$78,MATCH($B16,'Item Bank'!$A$2:$A$78,0)),"")</f>
        <v>Which Kambaata customary code of conduct was institutionalised by King Dilbato?</v>
      </c>
      <c r="D16" s="9" t="str">
        <f>IFERROR(INDEX('Item Bank'!$B$2:$B$78,MATCH($B16,'Item Bank'!$A$2:$A$78,0)),"")</f>
        <v>Customary Law</v>
      </c>
      <c r="E16" s="7" t="s">
        <v>438</v>
      </c>
      <c r="F16" s="10">
        <v>46245</v>
      </c>
      <c r="G16" s="11" t="s">
        <v>456</v>
      </c>
      <c r="H16" s="12">
        <v>0</v>
      </c>
      <c r="I16" s="12" t="s">
        <v>444</v>
      </c>
      <c r="J16" s="12">
        <v>0</v>
      </c>
      <c r="K16" s="13"/>
      <c r="L16" s="12" t="s">
        <v>434</v>
      </c>
      <c r="M16" s="12"/>
      <c r="N16" s="11"/>
    </row>
    <row r="17" spans="1:14" ht="15.75" customHeight="1" x14ac:dyDescent="0.35">
      <c r="A17" s="7">
        <v>16</v>
      </c>
      <c r="B17" s="7" t="s">
        <v>48</v>
      </c>
      <c r="C17" s="9" t="str">
        <f>IFERROR(INDEX('Item Bank'!$D$2:$D$78,MATCH($B17,'Item Bank'!$A$2:$A$78,0)),"")</f>
        <v>Which Kambaata customary code of conduct was institutionalised by King Dilbato?</v>
      </c>
      <c r="D17" s="9" t="str">
        <f>IFERROR(INDEX('Item Bank'!$B$2:$B$78,MATCH($B17,'Item Bank'!$A$2:$A$78,0)),"")</f>
        <v>Customary Law</v>
      </c>
      <c r="E17" s="7" t="s">
        <v>440</v>
      </c>
      <c r="F17" s="10">
        <v>46245</v>
      </c>
      <c r="G17" s="11" t="s">
        <v>457</v>
      </c>
      <c r="H17" s="12">
        <v>3</v>
      </c>
      <c r="I17" s="12" t="s">
        <v>442</v>
      </c>
      <c r="J17" s="12">
        <v>0</v>
      </c>
      <c r="K17" s="13"/>
      <c r="L17" s="12" t="s">
        <v>434</v>
      </c>
      <c r="M17" s="12"/>
      <c r="N17" s="11"/>
    </row>
    <row r="18" spans="1:14" ht="15.75" customHeight="1" x14ac:dyDescent="0.35">
      <c r="A18" s="7">
        <v>17</v>
      </c>
      <c r="B18" s="7" t="s">
        <v>55</v>
      </c>
      <c r="C18" s="9" t="str">
        <f>IFERROR(INDEX('Item Bank'!$D$2:$D$78,MATCH($B18,'Item Bank'!$A$2:$A$78,0)),"")</f>
        <v>What is Onna-Sera in Kambaata village culture?</v>
      </c>
      <c r="D18" s="9" t="str">
        <f>IFERROR(INDEX('Item Bank'!$B$2:$B$78,MATCH($B18,'Item Bank'!$A$2:$A$78,0)),"")</f>
        <v>Customary Law</v>
      </c>
      <c r="E18" s="7" t="s">
        <v>431</v>
      </c>
      <c r="F18" s="10">
        <v>46244</v>
      </c>
      <c r="G18" s="11" t="s">
        <v>458</v>
      </c>
      <c r="H18" s="12">
        <v>1</v>
      </c>
      <c r="I18" s="12" t="s">
        <v>442</v>
      </c>
      <c r="J18" s="12">
        <v>0</v>
      </c>
      <c r="K18" s="13"/>
      <c r="L18" s="12" t="s">
        <v>434</v>
      </c>
      <c r="M18" s="12"/>
      <c r="N18" s="11"/>
    </row>
    <row r="19" spans="1:14" ht="15.75" customHeight="1" x14ac:dyDescent="0.35">
      <c r="A19" s="7">
        <v>18</v>
      </c>
      <c r="B19" s="7" t="s">
        <v>55</v>
      </c>
      <c r="C19" s="9" t="str">
        <f>IFERROR(INDEX('Item Bank'!$D$2:$D$78,MATCH($B19,'Item Bank'!$A$2:$A$78,0)),"")</f>
        <v>What is Onna-Sera in Kambaata village culture?</v>
      </c>
      <c r="D19" s="9" t="str">
        <f>IFERROR(INDEX('Item Bank'!$B$2:$B$78,MATCH($B19,'Item Bank'!$A$2:$A$78,0)),"")</f>
        <v>Customary Law</v>
      </c>
      <c r="E19" s="7" t="s">
        <v>435</v>
      </c>
      <c r="F19" s="10">
        <v>46244</v>
      </c>
      <c r="G19" s="11" t="s">
        <v>459</v>
      </c>
      <c r="H19" s="12">
        <v>1</v>
      </c>
      <c r="I19" s="12" t="s">
        <v>442</v>
      </c>
      <c r="J19" s="12">
        <v>0</v>
      </c>
      <c r="K19" s="13"/>
      <c r="L19" s="12" t="s">
        <v>434</v>
      </c>
      <c r="M19" s="12"/>
      <c r="N19" s="11"/>
    </row>
    <row r="20" spans="1:14" ht="15.75" customHeight="1" x14ac:dyDescent="0.35">
      <c r="A20" s="7">
        <v>19</v>
      </c>
      <c r="B20" s="7" t="s">
        <v>55</v>
      </c>
      <c r="C20" s="9" t="str">
        <f>IFERROR(INDEX('Item Bank'!$D$2:$D$78,MATCH($B20,'Item Bank'!$A$2:$A$78,0)),"")</f>
        <v>What is Onna-Sera in Kambaata village culture?</v>
      </c>
      <c r="D20" s="9" t="str">
        <f>IFERROR(INDEX('Item Bank'!$B$2:$B$78,MATCH($B20,'Item Bank'!$A$2:$A$78,0)),"")</f>
        <v>Customary Law</v>
      </c>
      <c r="E20" s="7" t="s">
        <v>438</v>
      </c>
      <c r="F20" s="10">
        <v>46245</v>
      </c>
      <c r="G20" s="11" t="s">
        <v>460</v>
      </c>
      <c r="H20" s="12">
        <v>0</v>
      </c>
      <c r="I20" s="12" t="s">
        <v>444</v>
      </c>
      <c r="J20" s="12">
        <v>0</v>
      </c>
      <c r="K20" s="13"/>
      <c r="L20" s="12" t="s">
        <v>434</v>
      </c>
      <c r="M20" s="12"/>
      <c r="N20" s="11"/>
    </row>
    <row r="21" spans="1:14" ht="15.75" customHeight="1" x14ac:dyDescent="0.35">
      <c r="A21" s="7">
        <v>20</v>
      </c>
      <c r="B21" s="7" t="s">
        <v>55</v>
      </c>
      <c r="C21" s="9" t="str">
        <f>IFERROR(INDEX('Item Bank'!$D$2:$D$78,MATCH($B21,'Item Bank'!$A$2:$A$78,0)),"")</f>
        <v>What is Onna-Sera in Kambaata village culture?</v>
      </c>
      <c r="D21" s="9" t="str">
        <f>IFERROR(INDEX('Item Bank'!$B$2:$B$78,MATCH($B21,'Item Bank'!$A$2:$A$78,0)),"")</f>
        <v>Customary Law</v>
      </c>
      <c r="E21" s="7" t="s">
        <v>440</v>
      </c>
      <c r="F21" s="10">
        <v>46245</v>
      </c>
      <c r="G21" s="11" t="s">
        <v>461</v>
      </c>
      <c r="H21" s="12">
        <v>0</v>
      </c>
      <c r="I21" s="12" t="s">
        <v>444</v>
      </c>
      <c r="J21" s="12">
        <v>0</v>
      </c>
      <c r="K21" s="13"/>
      <c r="L21" s="12" t="s">
        <v>434</v>
      </c>
      <c r="M21" s="12"/>
      <c r="N21" s="11"/>
    </row>
    <row r="22" spans="1:14" ht="15.75" customHeight="1" x14ac:dyDescent="0.35">
      <c r="A22" s="7">
        <v>21</v>
      </c>
      <c r="B22" s="7" t="s">
        <v>60</v>
      </c>
      <c r="C22" s="9" t="str">
        <f>IFERROR(INDEX('Item Bank'!$D$2:$D$78,MATCH($B22,'Item Bank'!$A$2:$A$78,0)),"")</f>
        <v>What is Mini-Sera in Kambaata culture?</v>
      </c>
      <c r="D22" s="9" t="str">
        <f>IFERROR(INDEX('Item Bank'!$B$2:$B$78,MATCH($B22,'Item Bank'!$A$2:$A$78,0)),"")</f>
        <v>Customary Law</v>
      </c>
      <c r="E22" s="7" t="s">
        <v>431</v>
      </c>
      <c r="F22" s="10">
        <v>46244</v>
      </c>
      <c r="G22" s="11" t="s">
        <v>462</v>
      </c>
      <c r="H22" s="12">
        <v>0</v>
      </c>
      <c r="I22" s="12" t="s">
        <v>448</v>
      </c>
      <c r="J22" s="12">
        <v>0</v>
      </c>
      <c r="K22" s="13"/>
      <c r="L22" s="12" t="s">
        <v>434</v>
      </c>
      <c r="M22" s="12"/>
      <c r="N22" s="11"/>
    </row>
    <row r="23" spans="1:14" ht="15.75" customHeight="1" x14ac:dyDescent="0.35">
      <c r="A23" s="7">
        <v>22</v>
      </c>
      <c r="B23" s="7" t="s">
        <v>60</v>
      </c>
      <c r="C23" s="9" t="str">
        <f>IFERROR(INDEX('Item Bank'!$D$2:$D$78,MATCH($B23,'Item Bank'!$A$2:$A$78,0)),"")</f>
        <v>What is Mini-Sera in Kambaata culture?</v>
      </c>
      <c r="D23" s="9" t="str">
        <f>IFERROR(INDEX('Item Bank'!$B$2:$B$78,MATCH($B23,'Item Bank'!$A$2:$A$78,0)),"")</f>
        <v>Customary Law</v>
      </c>
      <c r="E23" s="7" t="s">
        <v>435</v>
      </c>
      <c r="F23" s="10">
        <v>46244</v>
      </c>
      <c r="G23" s="11" t="s">
        <v>463</v>
      </c>
      <c r="H23" s="12">
        <v>1</v>
      </c>
      <c r="I23" s="12" t="s">
        <v>448</v>
      </c>
      <c r="J23" s="12">
        <v>0</v>
      </c>
      <c r="K23" s="13"/>
      <c r="L23" s="12" t="s">
        <v>434</v>
      </c>
      <c r="M23" s="12"/>
      <c r="N23" s="11"/>
    </row>
    <row r="24" spans="1:14" ht="15.75" customHeight="1" x14ac:dyDescent="0.35">
      <c r="A24" s="7">
        <v>23</v>
      </c>
      <c r="B24" s="7" t="s">
        <v>60</v>
      </c>
      <c r="C24" s="9" t="str">
        <f>IFERROR(INDEX('Item Bank'!$D$2:$D$78,MATCH($B24,'Item Bank'!$A$2:$A$78,0)),"")</f>
        <v>What is Mini-Sera in Kambaata culture?</v>
      </c>
      <c r="D24" s="9" t="str">
        <f>IFERROR(INDEX('Item Bank'!$B$2:$B$78,MATCH($B24,'Item Bank'!$A$2:$A$78,0)),"")</f>
        <v>Customary Law</v>
      </c>
      <c r="E24" s="7" t="s">
        <v>438</v>
      </c>
      <c r="F24" s="10">
        <v>46245</v>
      </c>
      <c r="G24" s="11" t="s">
        <v>464</v>
      </c>
      <c r="H24" s="12">
        <v>0</v>
      </c>
      <c r="I24" s="12" t="s">
        <v>444</v>
      </c>
      <c r="J24" s="12">
        <v>0</v>
      </c>
      <c r="K24" s="13"/>
      <c r="L24" s="12" t="s">
        <v>434</v>
      </c>
      <c r="M24" s="12"/>
      <c r="N24" s="11"/>
    </row>
    <row r="25" spans="1:14" ht="15.75" customHeight="1" x14ac:dyDescent="0.35">
      <c r="A25" s="7">
        <v>24</v>
      </c>
      <c r="B25" s="7" t="s">
        <v>60</v>
      </c>
      <c r="C25" s="9" t="str">
        <f>IFERROR(INDEX('Item Bank'!$D$2:$D$78,MATCH($B25,'Item Bank'!$A$2:$A$78,0)),"")</f>
        <v>What is Mini-Sera in Kambaata culture?</v>
      </c>
      <c r="D25" s="9" t="str">
        <f>IFERROR(INDEX('Item Bank'!$B$2:$B$78,MATCH($B25,'Item Bank'!$A$2:$A$78,0)),"")</f>
        <v>Customary Law</v>
      </c>
      <c r="E25" s="7" t="s">
        <v>440</v>
      </c>
      <c r="F25" s="10">
        <v>46245</v>
      </c>
      <c r="G25" s="11" t="s">
        <v>465</v>
      </c>
      <c r="H25" s="12">
        <v>0</v>
      </c>
      <c r="I25" s="12" t="s">
        <v>444</v>
      </c>
      <c r="J25" s="12">
        <v>0</v>
      </c>
      <c r="K25" s="13"/>
      <c r="L25" s="12" t="s">
        <v>434</v>
      </c>
      <c r="M25" s="12"/>
      <c r="N25" s="11"/>
    </row>
    <row r="26" spans="1:14" ht="15.75" customHeight="1" x14ac:dyDescent="0.35">
      <c r="A26" s="7">
        <v>25</v>
      </c>
      <c r="B26" s="7" t="s">
        <v>65</v>
      </c>
      <c r="C26" s="9" t="str">
        <f>IFERROR(INDEX('Item Bank'!$D$2:$D$78,MATCH($B26,'Item Bank'!$A$2:$A$78,0)),"")</f>
        <v>What is Lali-Sera in Kambaata village life?</v>
      </c>
      <c r="D26" s="9" t="str">
        <f>IFERROR(INDEX('Item Bank'!$B$2:$B$78,MATCH($B26,'Item Bank'!$A$2:$A$78,0)),"")</f>
        <v>Customary Law</v>
      </c>
      <c r="E26" s="7" t="s">
        <v>431</v>
      </c>
      <c r="F26" s="10">
        <v>46244</v>
      </c>
      <c r="G26" s="11" t="s">
        <v>466</v>
      </c>
      <c r="H26" s="12">
        <v>0</v>
      </c>
      <c r="I26" s="12" t="s">
        <v>448</v>
      </c>
      <c r="J26" s="12">
        <v>0</v>
      </c>
      <c r="K26" s="13"/>
      <c r="L26" s="12" t="s">
        <v>434</v>
      </c>
      <c r="M26" s="12"/>
      <c r="N26" s="11"/>
    </row>
    <row r="27" spans="1:14" ht="15.75" customHeight="1" x14ac:dyDescent="0.35">
      <c r="A27" s="7">
        <v>26</v>
      </c>
      <c r="B27" s="7" t="s">
        <v>65</v>
      </c>
      <c r="C27" s="9" t="str">
        <f>IFERROR(INDEX('Item Bank'!$D$2:$D$78,MATCH($B27,'Item Bank'!$A$2:$A$78,0)),"")</f>
        <v>What is Lali-Sera in Kambaata village life?</v>
      </c>
      <c r="D27" s="9" t="str">
        <f>IFERROR(INDEX('Item Bank'!$B$2:$B$78,MATCH($B27,'Item Bank'!$A$2:$A$78,0)),"")</f>
        <v>Customary Law</v>
      </c>
      <c r="E27" s="7" t="s">
        <v>435</v>
      </c>
      <c r="F27" s="10">
        <v>46244</v>
      </c>
      <c r="G27" s="11" t="s">
        <v>467</v>
      </c>
      <c r="H27" s="12">
        <v>1</v>
      </c>
      <c r="I27" s="12" t="s">
        <v>442</v>
      </c>
      <c r="J27" s="12">
        <v>0</v>
      </c>
      <c r="K27" s="13"/>
      <c r="L27" s="12" t="s">
        <v>434</v>
      </c>
      <c r="M27" s="12"/>
      <c r="N27" s="11"/>
    </row>
    <row r="28" spans="1:14" ht="15.75" customHeight="1" x14ac:dyDescent="0.35">
      <c r="A28" s="7">
        <v>27</v>
      </c>
      <c r="B28" s="7" t="s">
        <v>65</v>
      </c>
      <c r="C28" s="9" t="str">
        <f>IFERROR(INDEX('Item Bank'!$D$2:$D$78,MATCH($B28,'Item Bank'!$A$2:$A$78,0)),"")</f>
        <v>What is Lali-Sera in Kambaata village life?</v>
      </c>
      <c r="D28" s="9" t="str">
        <f>IFERROR(INDEX('Item Bank'!$B$2:$B$78,MATCH($B28,'Item Bank'!$A$2:$A$78,0)),"")</f>
        <v>Customary Law</v>
      </c>
      <c r="E28" s="7" t="s">
        <v>438</v>
      </c>
      <c r="F28" s="10">
        <v>46245</v>
      </c>
      <c r="G28" s="11" t="s">
        <v>468</v>
      </c>
      <c r="H28" s="12">
        <v>0</v>
      </c>
      <c r="I28" s="12" t="s">
        <v>444</v>
      </c>
      <c r="J28" s="12">
        <v>0</v>
      </c>
      <c r="K28" s="13"/>
      <c r="L28" s="12" t="s">
        <v>434</v>
      </c>
      <c r="M28" s="12"/>
      <c r="N28" s="11"/>
    </row>
    <row r="29" spans="1:14" ht="15.75" customHeight="1" x14ac:dyDescent="0.35">
      <c r="A29" s="7">
        <v>28</v>
      </c>
      <c r="B29" s="7" t="s">
        <v>65</v>
      </c>
      <c r="C29" s="9" t="str">
        <f>IFERROR(INDEX('Item Bank'!$D$2:$D$78,MATCH($B29,'Item Bank'!$A$2:$A$78,0)),"")</f>
        <v>What is Lali-Sera in Kambaata village life?</v>
      </c>
      <c r="D29" s="9" t="str">
        <f>IFERROR(INDEX('Item Bank'!$B$2:$B$78,MATCH($B29,'Item Bank'!$A$2:$A$78,0)),"")</f>
        <v>Customary Law</v>
      </c>
      <c r="E29" s="7" t="s">
        <v>440</v>
      </c>
      <c r="F29" s="10">
        <v>46245</v>
      </c>
      <c r="G29" s="11" t="s">
        <v>469</v>
      </c>
      <c r="H29" s="12">
        <v>0</v>
      </c>
      <c r="I29" s="12" t="s">
        <v>444</v>
      </c>
      <c r="J29" s="12">
        <v>0</v>
      </c>
      <c r="K29" s="13"/>
      <c r="L29" s="12" t="s">
        <v>434</v>
      </c>
      <c r="M29" s="12"/>
      <c r="N29" s="11"/>
    </row>
    <row r="30" spans="1:14" ht="15.75" customHeight="1" x14ac:dyDescent="0.35">
      <c r="A30" s="7">
        <v>29</v>
      </c>
      <c r="B30" s="7" t="s">
        <v>69</v>
      </c>
      <c r="C30" s="9" t="str">
        <f>IFERROR(INDEX('Item Bank'!$D$2:$D$78,MATCH($B30,'Item Bank'!$A$2:$A$78,0)),"")</f>
        <v>What is Huje-Sera in Kambaata agricultural practice?</v>
      </c>
      <c r="D30" s="9" t="str">
        <f>IFERROR(INDEX('Item Bank'!$B$2:$B$78,MATCH($B30,'Item Bank'!$A$2:$A$78,0)),"")</f>
        <v>Customary Law</v>
      </c>
      <c r="E30" s="7" t="s">
        <v>431</v>
      </c>
      <c r="F30" s="10">
        <v>46244</v>
      </c>
      <c r="G30" s="11" t="s">
        <v>470</v>
      </c>
      <c r="H30" s="12">
        <v>3</v>
      </c>
      <c r="I30" s="12" t="s">
        <v>444</v>
      </c>
      <c r="J30" s="12">
        <v>0</v>
      </c>
      <c r="K30" s="13"/>
      <c r="L30" s="12" t="s">
        <v>434</v>
      </c>
      <c r="M30" s="12"/>
      <c r="N30" s="11"/>
    </row>
    <row r="31" spans="1:14" ht="15.75" customHeight="1" x14ac:dyDescent="0.35">
      <c r="A31" s="7">
        <v>30</v>
      </c>
      <c r="B31" s="7" t="s">
        <v>69</v>
      </c>
      <c r="C31" s="9" t="str">
        <f>IFERROR(INDEX('Item Bank'!$D$2:$D$78,MATCH($B31,'Item Bank'!$A$2:$A$78,0)),"")</f>
        <v>What is Huje-Sera in Kambaata agricultural practice?</v>
      </c>
      <c r="D31" s="9" t="str">
        <f>IFERROR(INDEX('Item Bank'!$B$2:$B$78,MATCH($B31,'Item Bank'!$A$2:$A$78,0)),"")</f>
        <v>Customary Law</v>
      </c>
      <c r="E31" s="7" t="s">
        <v>435</v>
      </c>
      <c r="F31" s="10">
        <v>46244</v>
      </c>
      <c r="G31" s="11" t="s">
        <v>471</v>
      </c>
      <c r="H31" s="12">
        <v>3</v>
      </c>
      <c r="I31" s="12" t="s">
        <v>442</v>
      </c>
      <c r="J31" s="12">
        <v>0</v>
      </c>
      <c r="K31" s="13"/>
      <c r="L31" s="12" t="s">
        <v>434</v>
      </c>
      <c r="M31" s="12"/>
      <c r="N31" s="11"/>
    </row>
    <row r="32" spans="1:14" ht="15.75" customHeight="1" x14ac:dyDescent="0.35">
      <c r="A32" s="7">
        <v>31</v>
      </c>
      <c r="B32" s="7" t="s">
        <v>69</v>
      </c>
      <c r="C32" s="9" t="str">
        <f>IFERROR(INDEX('Item Bank'!$D$2:$D$78,MATCH($B32,'Item Bank'!$A$2:$A$78,0)),"")</f>
        <v>What is Huje-Sera in Kambaata agricultural practice?</v>
      </c>
      <c r="D32" s="9" t="str">
        <f>IFERROR(INDEX('Item Bank'!$B$2:$B$78,MATCH($B32,'Item Bank'!$A$2:$A$78,0)),"")</f>
        <v>Customary Law</v>
      </c>
      <c r="E32" s="7" t="s">
        <v>438</v>
      </c>
      <c r="F32" s="10">
        <v>46245</v>
      </c>
      <c r="G32" s="11" t="s">
        <v>472</v>
      </c>
      <c r="H32" s="12">
        <v>0</v>
      </c>
      <c r="I32" s="12" t="s">
        <v>444</v>
      </c>
      <c r="J32" s="12">
        <v>0</v>
      </c>
      <c r="K32" s="13"/>
      <c r="L32" s="12" t="s">
        <v>434</v>
      </c>
      <c r="M32" s="12"/>
      <c r="N32" s="11"/>
    </row>
    <row r="33" spans="1:14" ht="15.75" customHeight="1" x14ac:dyDescent="0.35">
      <c r="A33" s="7">
        <v>32</v>
      </c>
      <c r="B33" s="7" t="s">
        <v>69</v>
      </c>
      <c r="C33" s="9" t="str">
        <f>IFERROR(INDEX('Item Bank'!$D$2:$D$78,MATCH($B33,'Item Bank'!$A$2:$A$78,0)),"")</f>
        <v>What is Huje-Sera in Kambaata agricultural practice?</v>
      </c>
      <c r="D33" s="9" t="str">
        <f>IFERROR(INDEX('Item Bank'!$B$2:$B$78,MATCH($B33,'Item Bank'!$A$2:$A$78,0)),"")</f>
        <v>Customary Law</v>
      </c>
      <c r="E33" s="7" t="s">
        <v>440</v>
      </c>
      <c r="F33" s="10">
        <v>46245</v>
      </c>
      <c r="G33" s="11" t="s">
        <v>473</v>
      </c>
      <c r="H33" s="12">
        <v>0</v>
      </c>
      <c r="I33" s="12" t="s">
        <v>444</v>
      </c>
      <c r="J33" s="12">
        <v>0</v>
      </c>
      <c r="K33" s="13"/>
      <c r="L33" s="12" t="s">
        <v>434</v>
      </c>
      <c r="M33" s="12"/>
      <c r="N33" s="11"/>
    </row>
    <row r="34" spans="1:14" ht="15.75" customHeight="1" x14ac:dyDescent="0.35">
      <c r="A34" s="7">
        <v>33</v>
      </c>
      <c r="B34" s="7" t="s">
        <v>73</v>
      </c>
      <c r="C34" s="9" t="str">
        <f>IFERROR(INDEX('Item Bank'!$D$2:$D$78,MATCH($B34,'Item Bank'!$A$2:$A$78,0)),"")</f>
        <v>What is Ilami-Sera in Kambaata kinship structure?</v>
      </c>
      <c r="D34" s="9" t="str">
        <f>IFERROR(INDEX('Item Bank'!$B$2:$B$78,MATCH($B34,'Item Bank'!$A$2:$A$78,0)),"")</f>
        <v>Customary Law</v>
      </c>
      <c r="E34" s="7" t="s">
        <v>431</v>
      </c>
      <c r="F34" s="10">
        <v>46244</v>
      </c>
      <c r="G34" s="11" t="s">
        <v>474</v>
      </c>
      <c r="H34" s="12">
        <v>2</v>
      </c>
      <c r="I34" s="12" t="s">
        <v>444</v>
      </c>
      <c r="J34" s="12">
        <v>0</v>
      </c>
      <c r="K34" s="13"/>
      <c r="L34" s="12" t="s">
        <v>434</v>
      </c>
      <c r="M34" s="12"/>
      <c r="N34" s="11"/>
    </row>
    <row r="35" spans="1:14" ht="15.75" customHeight="1" x14ac:dyDescent="0.35">
      <c r="A35" s="7">
        <v>34</v>
      </c>
      <c r="B35" s="7" t="s">
        <v>73</v>
      </c>
      <c r="C35" s="9" t="str">
        <f>IFERROR(INDEX('Item Bank'!$D$2:$D$78,MATCH($B35,'Item Bank'!$A$2:$A$78,0)),"")</f>
        <v>What is Ilami-Sera in Kambaata kinship structure?</v>
      </c>
      <c r="D35" s="9" t="str">
        <f>IFERROR(INDEX('Item Bank'!$B$2:$B$78,MATCH($B35,'Item Bank'!$A$2:$A$78,0)),"")</f>
        <v>Customary Law</v>
      </c>
      <c r="E35" s="7" t="s">
        <v>435</v>
      </c>
      <c r="F35" s="10">
        <v>46244</v>
      </c>
      <c r="G35" s="11" t="s">
        <v>475</v>
      </c>
      <c r="H35" s="12">
        <v>3</v>
      </c>
      <c r="I35" s="12" t="s">
        <v>442</v>
      </c>
      <c r="J35" s="12">
        <v>0</v>
      </c>
      <c r="K35" s="13"/>
      <c r="L35" s="12" t="s">
        <v>434</v>
      </c>
      <c r="M35" s="12"/>
      <c r="N35" s="11"/>
    </row>
    <row r="36" spans="1:14" ht="15.75" customHeight="1" x14ac:dyDescent="0.35">
      <c r="A36" s="7">
        <v>35</v>
      </c>
      <c r="B36" s="7" t="s">
        <v>73</v>
      </c>
      <c r="C36" s="9" t="str">
        <f>IFERROR(INDEX('Item Bank'!$D$2:$D$78,MATCH($B36,'Item Bank'!$A$2:$A$78,0)),"")</f>
        <v>What is Ilami-Sera in Kambaata kinship structure?</v>
      </c>
      <c r="D36" s="9" t="str">
        <f>IFERROR(INDEX('Item Bank'!$B$2:$B$78,MATCH($B36,'Item Bank'!$A$2:$A$78,0)),"")</f>
        <v>Customary Law</v>
      </c>
      <c r="E36" s="7" t="s">
        <v>438</v>
      </c>
      <c r="F36" s="10">
        <v>46245</v>
      </c>
      <c r="G36" s="11" t="s">
        <v>476</v>
      </c>
      <c r="H36" s="12">
        <v>3</v>
      </c>
      <c r="I36" s="12" t="s">
        <v>444</v>
      </c>
      <c r="J36" s="12">
        <v>0</v>
      </c>
      <c r="K36" s="13"/>
      <c r="L36" s="12" t="s">
        <v>434</v>
      </c>
      <c r="M36" s="12"/>
      <c r="N36" s="11"/>
    </row>
    <row r="37" spans="1:14" ht="15.75" customHeight="1" x14ac:dyDescent="0.35">
      <c r="A37" s="7">
        <v>36</v>
      </c>
      <c r="B37" s="7" t="s">
        <v>73</v>
      </c>
      <c r="C37" s="9" t="str">
        <f>IFERROR(INDEX('Item Bank'!$D$2:$D$78,MATCH($B37,'Item Bank'!$A$2:$A$78,0)),"")</f>
        <v>What is Ilami-Sera in Kambaata kinship structure?</v>
      </c>
      <c r="D37" s="9" t="str">
        <f>IFERROR(INDEX('Item Bank'!$B$2:$B$78,MATCH($B37,'Item Bank'!$A$2:$A$78,0)),"")</f>
        <v>Customary Law</v>
      </c>
      <c r="E37" s="7" t="s">
        <v>440</v>
      </c>
      <c r="F37" s="10">
        <v>46245</v>
      </c>
      <c r="G37" s="11" t="s">
        <v>477</v>
      </c>
      <c r="H37" s="12">
        <v>1</v>
      </c>
      <c r="I37" s="12" t="s">
        <v>444</v>
      </c>
      <c r="J37" s="12">
        <v>0</v>
      </c>
      <c r="K37" s="13"/>
      <c r="L37" s="12" t="s">
        <v>434</v>
      </c>
      <c r="M37" s="12"/>
      <c r="N37" s="11"/>
    </row>
    <row r="38" spans="1:14" ht="15.75" customHeight="1" x14ac:dyDescent="0.35">
      <c r="A38" s="7">
        <v>37</v>
      </c>
      <c r="B38" s="7" t="s">
        <v>78</v>
      </c>
      <c r="C38" s="9" t="str">
        <f>IFERROR(INDEX('Item Bank'!$D$2:$D$78,MATCH($B38,'Item Bank'!$A$2:$A$78,0)),"")</f>
        <v>What is the Kokata in Kambaata traditional administration?</v>
      </c>
      <c r="D38" s="9" t="str">
        <f>IFERROR(INDEX('Item Bank'!$B$2:$B$78,MATCH($B38,'Item Bank'!$A$2:$A$78,0)),"")</f>
        <v>Traditional Governance</v>
      </c>
      <c r="E38" s="7" t="s">
        <v>431</v>
      </c>
      <c r="F38" s="10">
        <v>46244</v>
      </c>
      <c r="G38" s="11" t="s">
        <v>478</v>
      </c>
      <c r="H38" s="12">
        <v>2</v>
      </c>
      <c r="I38" s="12" t="s">
        <v>442</v>
      </c>
      <c r="J38" s="12">
        <v>0</v>
      </c>
      <c r="K38" s="13"/>
      <c r="L38" s="12" t="s">
        <v>434</v>
      </c>
      <c r="M38" s="12"/>
      <c r="N38" s="11"/>
    </row>
    <row r="39" spans="1:14" ht="15.75" customHeight="1" x14ac:dyDescent="0.35">
      <c r="A39" s="7">
        <v>38</v>
      </c>
      <c r="B39" s="7" t="s">
        <v>78</v>
      </c>
      <c r="C39" s="9" t="str">
        <f>IFERROR(INDEX('Item Bank'!$D$2:$D$78,MATCH($B39,'Item Bank'!$A$2:$A$78,0)),"")</f>
        <v>What is the Kokata in Kambaata traditional administration?</v>
      </c>
      <c r="D39" s="9" t="str">
        <f>IFERROR(INDEX('Item Bank'!$B$2:$B$78,MATCH($B39,'Item Bank'!$A$2:$A$78,0)),"")</f>
        <v>Traditional Governance</v>
      </c>
      <c r="E39" s="7" t="s">
        <v>435</v>
      </c>
      <c r="F39" s="10">
        <v>46244</v>
      </c>
      <c r="G39" s="11" t="s">
        <v>479</v>
      </c>
      <c r="H39" s="12">
        <v>4</v>
      </c>
      <c r="I39" s="12" t="s">
        <v>444</v>
      </c>
      <c r="J39" s="12">
        <v>0</v>
      </c>
      <c r="K39" s="13"/>
      <c r="L39" s="12" t="s">
        <v>434</v>
      </c>
      <c r="M39" s="12"/>
      <c r="N39" s="11"/>
    </row>
    <row r="40" spans="1:14" ht="15.75" customHeight="1" x14ac:dyDescent="0.35">
      <c r="A40" s="7">
        <v>39</v>
      </c>
      <c r="B40" s="7" t="s">
        <v>78</v>
      </c>
      <c r="C40" s="9" t="str">
        <f>IFERROR(INDEX('Item Bank'!$D$2:$D$78,MATCH($B40,'Item Bank'!$A$2:$A$78,0)),"")</f>
        <v>What is the Kokata in Kambaata traditional administration?</v>
      </c>
      <c r="D40" s="9" t="str">
        <f>IFERROR(INDEX('Item Bank'!$B$2:$B$78,MATCH($B40,'Item Bank'!$A$2:$A$78,0)),"")</f>
        <v>Traditional Governance</v>
      </c>
      <c r="E40" s="7" t="s">
        <v>438</v>
      </c>
      <c r="F40" s="10">
        <v>46245</v>
      </c>
      <c r="G40" s="11" t="s">
        <v>480</v>
      </c>
      <c r="H40" s="12">
        <v>0</v>
      </c>
      <c r="I40" s="12" t="s">
        <v>444</v>
      </c>
      <c r="J40" s="12">
        <v>0</v>
      </c>
      <c r="K40" s="13"/>
      <c r="L40" s="12" t="s">
        <v>434</v>
      </c>
      <c r="M40" s="12"/>
      <c r="N40" s="11"/>
    </row>
    <row r="41" spans="1:14" ht="15.75" customHeight="1" x14ac:dyDescent="0.35">
      <c r="A41" s="7">
        <v>40</v>
      </c>
      <c r="B41" s="7" t="s">
        <v>78</v>
      </c>
      <c r="C41" s="9" t="str">
        <f>IFERROR(INDEX('Item Bank'!$D$2:$D$78,MATCH($B41,'Item Bank'!$A$2:$A$78,0)),"")</f>
        <v>What is the Kokata in Kambaata traditional administration?</v>
      </c>
      <c r="D41" s="9" t="str">
        <f>IFERROR(INDEX('Item Bank'!$B$2:$B$78,MATCH($B41,'Item Bank'!$A$2:$A$78,0)),"")</f>
        <v>Traditional Governance</v>
      </c>
      <c r="E41" s="7" t="s">
        <v>440</v>
      </c>
      <c r="F41" s="10">
        <v>46245</v>
      </c>
      <c r="G41" s="11" t="s">
        <v>481</v>
      </c>
      <c r="H41" s="12">
        <v>3</v>
      </c>
      <c r="I41" s="12" t="s">
        <v>444</v>
      </c>
      <c r="J41" s="12">
        <v>0</v>
      </c>
      <c r="K41" s="13"/>
      <c r="L41" s="12" t="s">
        <v>434</v>
      </c>
      <c r="M41" s="12"/>
      <c r="N41" s="11"/>
    </row>
    <row r="42" spans="1:14" ht="15.75" customHeight="1" x14ac:dyDescent="0.35">
      <c r="A42" s="7">
        <v>41</v>
      </c>
      <c r="B42" s="7" t="s">
        <v>83</v>
      </c>
      <c r="C42" s="9" t="str">
        <f>IFERROR(INDEX('Item Bank'!$D$2:$D$78,MATCH($B42,'Item Bank'!$A$2:$A$78,0)),"")</f>
        <v>What does the celebrated annual Masaala festival represent in Kambaata culture?</v>
      </c>
      <c r="D42" s="9" t="str">
        <f>IFERROR(INDEX('Item Bank'!$B$2:$B$78,MATCH($B42,'Item Bank'!$A$2:$A$78,0)),"")</f>
        <v>Masala Festival</v>
      </c>
      <c r="E42" s="7" t="s">
        <v>431</v>
      </c>
      <c r="F42" s="10">
        <v>46244</v>
      </c>
      <c r="G42" s="11" t="s">
        <v>482</v>
      </c>
      <c r="H42" s="12">
        <v>1</v>
      </c>
      <c r="I42" s="12" t="s">
        <v>442</v>
      </c>
      <c r="J42" s="12">
        <v>0</v>
      </c>
      <c r="K42" s="13"/>
      <c r="L42" s="12" t="s">
        <v>434</v>
      </c>
      <c r="M42" s="12"/>
      <c r="N42" s="11"/>
    </row>
    <row r="43" spans="1:14" ht="15.75" customHeight="1" x14ac:dyDescent="0.35">
      <c r="A43" s="7">
        <v>42</v>
      </c>
      <c r="B43" s="7" t="s">
        <v>83</v>
      </c>
      <c r="C43" s="9" t="str">
        <f>IFERROR(INDEX('Item Bank'!$D$2:$D$78,MATCH($B43,'Item Bank'!$A$2:$A$78,0)),"")</f>
        <v>What does the celebrated annual Masaala festival represent in Kambaata culture?</v>
      </c>
      <c r="D43" s="9" t="str">
        <f>IFERROR(INDEX('Item Bank'!$B$2:$B$78,MATCH($B43,'Item Bank'!$A$2:$A$78,0)),"")</f>
        <v>Masala Festival</v>
      </c>
      <c r="E43" s="7" t="s">
        <v>435</v>
      </c>
      <c r="F43" s="10">
        <v>46244</v>
      </c>
      <c r="G43" s="11" t="s">
        <v>483</v>
      </c>
      <c r="H43" s="12">
        <v>4</v>
      </c>
      <c r="I43" s="12" t="s">
        <v>444</v>
      </c>
      <c r="J43" s="12">
        <v>0</v>
      </c>
      <c r="K43" s="13"/>
      <c r="L43" s="12" t="s">
        <v>434</v>
      </c>
      <c r="M43" s="12"/>
      <c r="N43" s="11"/>
    </row>
    <row r="44" spans="1:14" ht="15.75" customHeight="1" x14ac:dyDescent="0.35">
      <c r="A44" s="7">
        <v>43</v>
      </c>
      <c r="B44" s="7" t="s">
        <v>83</v>
      </c>
      <c r="C44" s="9" t="str">
        <f>IFERROR(INDEX('Item Bank'!$D$2:$D$78,MATCH($B44,'Item Bank'!$A$2:$A$78,0)),"")</f>
        <v>What does the celebrated annual Masaala festival represent in Kambaata culture?</v>
      </c>
      <c r="D44" s="9" t="str">
        <f>IFERROR(INDEX('Item Bank'!$B$2:$B$78,MATCH($B44,'Item Bank'!$A$2:$A$78,0)),"")</f>
        <v>Masala Festival</v>
      </c>
      <c r="E44" s="7" t="s">
        <v>438</v>
      </c>
      <c r="F44" s="10">
        <v>46245</v>
      </c>
      <c r="G44" s="11" t="s">
        <v>484</v>
      </c>
      <c r="H44" s="12">
        <v>0</v>
      </c>
      <c r="I44" s="12" t="s">
        <v>444</v>
      </c>
      <c r="J44" s="12">
        <v>0</v>
      </c>
      <c r="K44" s="13"/>
      <c r="L44" s="12" t="s">
        <v>434</v>
      </c>
      <c r="M44" s="12"/>
      <c r="N44" s="11"/>
    </row>
    <row r="45" spans="1:14" ht="15.75" customHeight="1" x14ac:dyDescent="0.35">
      <c r="A45" s="7">
        <v>44</v>
      </c>
      <c r="B45" s="7" t="s">
        <v>83</v>
      </c>
      <c r="C45" s="9" t="str">
        <f>IFERROR(INDEX('Item Bank'!$D$2:$D$78,MATCH($B45,'Item Bank'!$A$2:$A$78,0)),"")</f>
        <v>What does the celebrated annual Masaala festival represent in Kambaata culture?</v>
      </c>
      <c r="D45" s="9" t="str">
        <f>IFERROR(INDEX('Item Bank'!$B$2:$B$78,MATCH($B45,'Item Bank'!$A$2:$A$78,0)),"")</f>
        <v>Masala Festival</v>
      </c>
      <c r="E45" s="7" t="s">
        <v>440</v>
      </c>
      <c r="F45" s="10">
        <v>46245</v>
      </c>
      <c r="G45" s="11" t="s">
        <v>485</v>
      </c>
      <c r="H45" s="12">
        <v>1</v>
      </c>
      <c r="I45" s="12" t="s">
        <v>448</v>
      </c>
      <c r="J45" s="12">
        <v>2</v>
      </c>
      <c r="K45" s="13" t="s">
        <v>486</v>
      </c>
      <c r="L45" s="12" t="s">
        <v>434</v>
      </c>
      <c r="M45" s="12"/>
      <c r="N45" s="11"/>
    </row>
    <row r="46" spans="1:14" ht="15.75" customHeight="1" x14ac:dyDescent="0.35">
      <c r="A46" s="7">
        <v>45</v>
      </c>
      <c r="B46" s="7" t="s">
        <v>90</v>
      </c>
      <c r="C46" s="9" t="str">
        <f>IFERROR(INDEX('Item Bank'!$D$2:$D$78,MATCH($B46,'Item Bank'!$A$2:$A$78,0)),"")</f>
        <v>What is the Geja in Kambaata agricultural cooperation?</v>
      </c>
      <c r="D46" s="9" t="str">
        <f>IFERROR(INDEX('Item Bank'!$B$2:$B$78,MATCH($B46,'Item Bank'!$A$2:$A$78,0)),"")</f>
        <v>Cooperative Labor</v>
      </c>
      <c r="E46" s="7" t="s">
        <v>431</v>
      </c>
      <c r="F46" s="10">
        <v>46244</v>
      </c>
      <c r="G46" s="11" t="s">
        <v>487</v>
      </c>
      <c r="H46" s="12">
        <v>2</v>
      </c>
      <c r="I46" s="12" t="s">
        <v>444</v>
      </c>
      <c r="J46" s="12">
        <v>0</v>
      </c>
      <c r="K46" s="13"/>
      <c r="L46" s="12" t="s">
        <v>434</v>
      </c>
      <c r="M46" s="12"/>
      <c r="N46" s="11"/>
    </row>
    <row r="47" spans="1:14" ht="15.75" customHeight="1" x14ac:dyDescent="0.35">
      <c r="A47" s="7">
        <v>46</v>
      </c>
      <c r="B47" s="7" t="s">
        <v>90</v>
      </c>
      <c r="C47" s="9" t="str">
        <f>IFERROR(INDEX('Item Bank'!$D$2:$D$78,MATCH($B47,'Item Bank'!$A$2:$A$78,0)),"")</f>
        <v>What is the Geja in Kambaata agricultural cooperation?</v>
      </c>
      <c r="D47" s="9" t="str">
        <f>IFERROR(INDEX('Item Bank'!$B$2:$B$78,MATCH($B47,'Item Bank'!$A$2:$A$78,0)),"")</f>
        <v>Cooperative Labor</v>
      </c>
      <c r="E47" s="7" t="s">
        <v>435</v>
      </c>
      <c r="F47" s="10">
        <v>46244</v>
      </c>
      <c r="G47" s="11" t="s">
        <v>488</v>
      </c>
      <c r="H47" s="12">
        <v>3</v>
      </c>
      <c r="I47" s="12" t="s">
        <v>442</v>
      </c>
      <c r="J47" s="12">
        <v>0</v>
      </c>
      <c r="K47" s="13"/>
      <c r="L47" s="12" t="s">
        <v>434</v>
      </c>
      <c r="M47" s="12"/>
      <c r="N47" s="11"/>
    </row>
    <row r="48" spans="1:14" ht="15.75" customHeight="1" x14ac:dyDescent="0.35">
      <c r="A48" s="7">
        <v>47</v>
      </c>
      <c r="B48" s="7" t="s">
        <v>90</v>
      </c>
      <c r="C48" s="9" t="str">
        <f>IFERROR(INDEX('Item Bank'!$D$2:$D$78,MATCH($B48,'Item Bank'!$A$2:$A$78,0)),"")</f>
        <v>What is the Geja in Kambaata agricultural cooperation?</v>
      </c>
      <c r="D48" s="9" t="str">
        <f>IFERROR(INDEX('Item Bank'!$B$2:$B$78,MATCH($B48,'Item Bank'!$A$2:$A$78,0)),"")</f>
        <v>Cooperative Labor</v>
      </c>
      <c r="E48" s="7" t="s">
        <v>438</v>
      </c>
      <c r="F48" s="10">
        <v>46245</v>
      </c>
      <c r="G48" s="11" t="s">
        <v>489</v>
      </c>
      <c r="H48" s="12">
        <v>0</v>
      </c>
      <c r="I48" s="12" t="s">
        <v>444</v>
      </c>
      <c r="J48" s="12">
        <v>0</v>
      </c>
      <c r="K48" s="13"/>
      <c r="L48" s="12" t="s">
        <v>434</v>
      </c>
      <c r="M48" s="12"/>
      <c r="N48" s="11"/>
    </row>
    <row r="49" spans="1:14" ht="15.75" customHeight="1" x14ac:dyDescent="0.35">
      <c r="A49" s="7">
        <v>48</v>
      </c>
      <c r="B49" s="7" t="s">
        <v>90</v>
      </c>
      <c r="C49" s="9" t="str">
        <f>IFERROR(INDEX('Item Bank'!$D$2:$D$78,MATCH($B49,'Item Bank'!$A$2:$A$78,0)),"")</f>
        <v>What is the Geja in Kambaata agricultural cooperation?</v>
      </c>
      <c r="D49" s="9" t="str">
        <f>IFERROR(INDEX('Item Bank'!$B$2:$B$78,MATCH($B49,'Item Bank'!$A$2:$A$78,0)),"")</f>
        <v>Cooperative Labor</v>
      </c>
      <c r="E49" s="7" t="s">
        <v>440</v>
      </c>
      <c r="F49" s="10">
        <v>46245</v>
      </c>
      <c r="G49" s="11" t="s">
        <v>490</v>
      </c>
      <c r="H49" s="12">
        <v>0</v>
      </c>
      <c r="I49" s="12" t="s">
        <v>444</v>
      </c>
      <c r="J49" s="12">
        <v>0</v>
      </c>
      <c r="K49" s="13"/>
      <c r="L49" s="12" t="s">
        <v>434</v>
      </c>
      <c r="M49" s="12"/>
      <c r="N49" s="11"/>
    </row>
    <row r="50" spans="1:14" ht="15.75" customHeight="1" x14ac:dyDescent="0.35">
      <c r="A50" s="7">
        <v>49</v>
      </c>
      <c r="B50" s="7" t="s">
        <v>96</v>
      </c>
      <c r="C50" s="9" t="str">
        <f>IFERROR(INDEX('Item Bank'!$D$2:$D$78,MATCH($B50,'Item Bank'!$A$2:$A$78,0)),"")</f>
        <v>What is the Gezimma in Kambaata farming practice?</v>
      </c>
      <c r="D50" s="9" t="str">
        <f>IFERROR(INDEX('Item Bank'!$B$2:$B$78,MATCH($B50,'Item Bank'!$A$2:$A$78,0)),"")</f>
        <v>Cooperative Labor</v>
      </c>
      <c r="E50" s="7" t="s">
        <v>431</v>
      </c>
      <c r="F50" s="10">
        <v>46244</v>
      </c>
      <c r="G50" s="11" t="s">
        <v>491</v>
      </c>
      <c r="H50" s="12">
        <v>2</v>
      </c>
      <c r="I50" s="12" t="s">
        <v>444</v>
      </c>
      <c r="J50" s="12">
        <v>0</v>
      </c>
      <c r="K50" s="13"/>
      <c r="L50" s="12" t="s">
        <v>434</v>
      </c>
      <c r="M50" s="12"/>
      <c r="N50" s="11"/>
    </row>
    <row r="51" spans="1:14" ht="15.75" customHeight="1" x14ac:dyDescent="0.35">
      <c r="A51" s="7">
        <v>50</v>
      </c>
      <c r="B51" s="7" t="s">
        <v>96</v>
      </c>
      <c r="C51" s="9" t="str">
        <f>IFERROR(INDEX('Item Bank'!$D$2:$D$78,MATCH($B51,'Item Bank'!$A$2:$A$78,0)),"")</f>
        <v>What is the Gezimma in Kambaata farming practice?</v>
      </c>
      <c r="D51" s="9" t="str">
        <f>IFERROR(INDEX('Item Bank'!$B$2:$B$78,MATCH($B51,'Item Bank'!$A$2:$A$78,0)),"")</f>
        <v>Cooperative Labor</v>
      </c>
      <c r="E51" s="7" t="s">
        <v>435</v>
      </c>
      <c r="F51" s="10">
        <v>46244</v>
      </c>
      <c r="G51" s="11" t="s">
        <v>492</v>
      </c>
      <c r="H51" s="12">
        <v>3</v>
      </c>
      <c r="I51" s="12" t="s">
        <v>444</v>
      </c>
      <c r="J51" s="12">
        <v>0</v>
      </c>
      <c r="K51" s="13"/>
      <c r="L51" s="12" t="s">
        <v>434</v>
      </c>
      <c r="M51" s="12"/>
      <c r="N51" s="11"/>
    </row>
    <row r="52" spans="1:14" ht="15.75" customHeight="1" x14ac:dyDescent="0.35">
      <c r="A52" s="7">
        <v>51</v>
      </c>
      <c r="B52" s="7" t="s">
        <v>96</v>
      </c>
      <c r="C52" s="9" t="str">
        <f>IFERROR(INDEX('Item Bank'!$D$2:$D$78,MATCH($B52,'Item Bank'!$A$2:$A$78,0)),"")</f>
        <v>What is the Gezimma in Kambaata farming practice?</v>
      </c>
      <c r="D52" s="9" t="str">
        <f>IFERROR(INDEX('Item Bank'!$B$2:$B$78,MATCH($B52,'Item Bank'!$A$2:$A$78,0)),"")</f>
        <v>Cooperative Labor</v>
      </c>
      <c r="E52" s="7" t="s">
        <v>438</v>
      </c>
      <c r="F52" s="10">
        <v>46245</v>
      </c>
      <c r="G52" s="11" t="s">
        <v>493</v>
      </c>
      <c r="H52" s="12">
        <v>0</v>
      </c>
      <c r="I52" s="12" t="s">
        <v>444</v>
      </c>
      <c r="J52" s="12">
        <v>0</v>
      </c>
      <c r="K52" s="13"/>
      <c r="L52" s="12" t="s">
        <v>434</v>
      </c>
      <c r="M52" s="12"/>
      <c r="N52" s="11"/>
    </row>
    <row r="53" spans="1:14" ht="15.75" customHeight="1" x14ac:dyDescent="0.35">
      <c r="A53" s="7">
        <v>52</v>
      </c>
      <c r="B53" s="7" t="s">
        <v>96</v>
      </c>
      <c r="C53" s="9" t="str">
        <f>IFERROR(INDEX('Item Bank'!$D$2:$D$78,MATCH($B53,'Item Bank'!$A$2:$A$78,0)),"")</f>
        <v>What is the Gezimma in Kambaata farming practice?</v>
      </c>
      <c r="D53" s="9" t="str">
        <f>IFERROR(INDEX('Item Bank'!$B$2:$B$78,MATCH($B53,'Item Bank'!$A$2:$A$78,0)),"")</f>
        <v>Cooperative Labor</v>
      </c>
      <c r="E53" s="7" t="s">
        <v>440</v>
      </c>
      <c r="F53" s="10">
        <v>46245</v>
      </c>
      <c r="G53" s="11" t="s">
        <v>494</v>
      </c>
      <c r="H53" s="12">
        <v>0</v>
      </c>
      <c r="I53" s="12" t="s">
        <v>444</v>
      </c>
      <c r="J53" s="12">
        <v>0</v>
      </c>
      <c r="K53" s="13"/>
      <c r="L53" s="12" t="s">
        <v>434</v>
      </c>
      <c r="M53" s="12"/>
      <c r="N53" s="11"/>
    </row>
    <row r="54" spans="1:14" ht="15.75" customHeight="1" x14ac:dyDescent="0.35">
      <c r="A54" s="7">
        <v>53</v>
      </c>
      <c r="B54" s="7" t="s">
        <v>102</v>
      </c>
      <c r="C54" s="9" t="str">
        <f>IFERROR(INDEX('Item Bank'!$D$2:$D$78,MATCH($B54,'Item Bank'!$A$2:$A$78,0)),"")</f>
        <v>What is the Dawa in Kambaata cooperative labor?</v>
      </c>
      <c r="D54" s="9" t="str">
        <f>IFERROR(INDEX('Item Bank'!$B$2:$B$78,MATCH($B54,'Item Bank'!$A$2:$A$78,0)),"")</f>
        <v>Cooperative Labor</v>
      </c>
      <c r="E54" s="7" t="s">
        <v>431</v>
      </c>
      <c r="F54" s="10">
        <v>46244</v>
      </c>
      <c r="G54" s="11" t="s">
        <v>495</v>
      </c>
      <c r="H54" s="12">
        <v>1</v>
      </c>
      <c r="I54" s="12" t="s">
        <v>442</v>
      </c>
      <c r="J54" s="12">
        <v>0</v>
      </c>
      <c r="K54" s="13"/>
      <c r="L54" s="12" t="s">
        <v>434</v>
      </c>
      <c r="M54" s="12"/>
      <c r="N54" s="11"/>
    </row>
    <row r="55" spans="1:14" ht="15.75" customHeight="1" x14ac:dyDescent="0.35">
      <c r="A55" s="7">
        <v>54</v>
      </c>
      <c r="B55" s="7" t="s">
        <v>102</v>
      </c>
      <c r="C55" s="9" t="str">
        <f>IFERROR(INDEX('Item Bank'!$D$2:$D$78,MATCH($B55,'Item Bank'!$A$2:$A$78,0)),"")</f>
        <v>What is the Dawa in Kambaata cooperative labor?</v>
      </c>
      <c r="D55" s="9" t="str">
        <f>IFERROR(INDEX('Item Bank'!$B$2:$B$78,MATCH($B55,'Item Bank'!$A$2:$A$78,0)),"")</f>
        <v>Cooperative Labor</v>
      </c>
      <c r="E55" s="7" t="s">
        <v>435</v>
      </c>
      <c r="F55" s="10">
        <v>46245</v>
      </c>
      <c r="G55" s="11" t="s">
        <v>496</v>
      </c>
      <c r="H55" s="12">
        <v>4</v>
      </c>
      <c r="I55" s="12" t="s">
        <v>444</v>
      </c>
      <c r="J55" s="12">
        <v>0</v>
      </c>
      <c r="K55" s="13"/>
      <c r="L55" s="12" t="s">
        <v>434</v>
      </c>
      <c r="M55" s="12"/>
      <c r="N55" s="11"/>
    </row>
    <row r="56" spans="1:14" ht="15.75" customHeight="1" x14ac:dyDescent="0.35">
      <c r="A56" s="7">
        <v>55</v>
      </c>
      <c r="B56" s="7" t="s">
        <v>102</v>
      </c>
      <c r="C56" s="9" t="str">
        <f>IFERROR(INDEX('Item Bank'!$D$2:$D$78,MATCH($B56,'Item Bank'!$A$2:$A$78,0)),"")</f>
        <v>What is the Dawa in Kambaata cooperative labor?</v>
      </c>
      <c r="D56" s="9" t="str">
        <f>IFERROR(INDEX('Item Bank'!$B$2:$B$78,MATCH($B56,'Item Bank'!$A$2:$A$78,0)),"")</f>
        <v>Cooperative Labor</v>
      </c>
      <c r="E56" s="7" t="s">
        <v>438</v>
      </c>
      <c r="F56" s="10">
        <v>46245</v>
      </c>
      <c r="G56" s="11" t="s">
        <v>497</v>
      </c>
      <c r="H56" s="12">
        <v>0</v>
      </c>
      <c r="I56" s="12" t="s">
        <v>444</v>
      </c>
      <c r="J56" s="12">
        <v>0</v>
      </c>
      <c r="K56" s="13"/>
      <c r="L56" s="12" t="s">
        <v>434</v>
      </c>
      <c r="M56" s="12"/>
      <c r="N56" s="11"/>
    </row>
    <row r="57" spans="1:14" ht="15.75" customHeight="1" x14ac:dyDescent="0.35">
      <c r="A57" s="7">
        <v>56</v>
      </c>
      <c r="B57" s="7" t="s">
        <v>102</v>
      </c>
      <c r="C57" s="9" t="str">
        <f>IFERROR(INDEX('Item Bank'!$D$2:$D$78,MATCH($B57,'Item Bank'!$A$2:$A$78,0)),"")</f>
        <v>What is the Dawa in Kambaata cooperative labor?</v>
      </c>
      <c r="D57" s="9" t="str">
        <f>IFERROR(INDEX('Item Bank'!$B$2:$B$78,MATCH($B57,'Item Bank'!$A$2:$A$78,0)),"")</f>
        <v>Cooperative Labor</v>
      </c>
      <c r="E57" s="7" t="s">
        <v>440</v>
      </c>
      <c r="F57" s="10">
        <v>46245</v>
      </c>
      <c r="G57" s="11" t="s">
        <v>498</v>
      </c>
      <c r="H57" s="12">
        <v>1</v>
      </c>
      <c r="I57" s="12" t="s">
        <v>444</v>
      </c>
      <c r="J57" s="12">
        <v>0</v>
      </c>
      <c r="K57" s="13"/>
      <c r="L57" s="12" t="s">
        <v>434</v>
      </c>
      <c r="M57" s="12"/>
      <c r="N57" s="11"/>
    </row>
    <row r="58" spans="1:14" ht="15.75" customHeight="1" x14ac:dyDescent="0.35">
      <c r="A58" s="7">
        <v>57</v>
      </c>
      <c r="B58" s="7" t="s">
        <v>106</v>
      </c>
      <c r="C58" s="9" t="str">
        <f>IFERROR(INDEX('Item Bank'!$D$2:$D$78,MATCH($B58,'Item Bank'!$A$2:$A$78,0)),"")</f>
        <v>What is the Wijjo in Kambaata women's culture?</v>
      </c>
      <c r="D58" s="9" t="str">
        <f>IFERROR(INDEX('Item Bank'!$B$2:$B$78,MATCH($B58,'Item Bank'!$A$2:$A$78,0)),"")</f>
        <v>Cooperative Labor</v>
      </c>
      <c r="E58" s="7" t="s">
        <v>431</v>
      </c>
      <c r="F58" s="10">
        <v>46244</v>
      </c>
      <c r="G58" s="11" t="s">
        <v>499</v>
      </c>
      <c r="H58" s="12">
        <v>1</v>
      </c>
      <c r="I58" s="12" t="s">
        <v>442</v>
      </c>
      <c r="J58" s="12">
        <v>0</v>
      </c>
      <c r="K58" s="13"/>
      <c r="L58" s="12" t="s">
        <v>434</v>
      </c>
      <c r="M58" s="12"/>
      <c r="N58" s="11"/>
    </row>
    <row r="59" spans="1:14" ht="15.75" customHeight="1" x14ac:dyDescent="0.35">
      <c r="A59" s="7">
        <v>58</v>
      </c>
      <c r="B59" s="7" t="s">
        <v>106</v>
      </c>
      <c r="C59" s="9" t="str">
        <f>IFERROR(INDEX('Item Bank'!$D$2:$D$78,MATCH($B59,'Item Bank'!$A$2:$A$78,0)),"")</f>
        <v>What is the Wijjo in Kambaata women's culture?</v>
      </c>
      <c r="D59" s="9" t="str">
        <f>IFERROR(INDEX('Item Bank'!$B$2:$B$78,MATCH($B59,'Item Bank'!$A$2:$A$78,0)),"")</f>
        <v>Cooperative Labor</v>
      </c>
      <c r="E59" s="7" t="s">
        <v>435</v>
      </c>
      <c r="F59" s="10">
        <v>46245</v>
      </c>
      <c r="G59" s="11" t="s">
        <v>500</v>
      </c>
      <c r="H59" s="12">
        <v>4</v>
      </c>
      <c r="I59" s="12" t="s">
        <v>444</v>
      </c>
      <c r="J59" s="12">
        <v>0</v>
      </c>
      <c r="K59" s="13"/>
      <c r="L59" s="12" t="s">
        <v>434</v>
      </c>
      <c r="M59" s="12"/>
      <c r="N59" s="11"/>
    </row>
    <row r="60" spans="1:14" ht="15.75" customHeight="1" x14ac:dyDescent="0.35">
      <c r="A60" s="7">
        <v>59</v>
      </c>
      <c r="B60" s="7" t="s">
        <v>106</v>
      </c>
      <c r="C60" s="9" t="str">
        <f>IFERROR(INDEX('Item Bank'!$D$2:$D$78,MATCH($B60,'Item Bank'!$A$2:$A$78,0)),"")</f>
        <v>What is the Wijjo in Kambaata women's culture?</v>
      </c>
      <c r="D60" s="9" t="str">
        <f>IFERROR(INDEX('Item Bank'!$B$2:$B$78,MATCH($B60,'Item Bank'!$A$2:$A$78,0)),"")</f>
        <v>Cooperative Labor</v>
      </c>
      <c r="E60" s="7" t="s">
        <v>438</v>
      </c>
      <c r="F60" s="10">
        <v>46245</v>
      </c>
      <c r="G60" s="11" t="s">
        <v>501</v>
      </c>
      <c r="H60" s="12">
        <v>0</v>
      </c>
      <c r="I60" s="12" t="s">
        <v>444</v>
      </c>
      <c r="J60" s="12">
        <v>0</v>
      </c>
      <c r="K60" s="13"/>
      <c r="L60" s="12" t="s">
        <v>434</v>
      </c>
      <c r="M60" s="12"/>
      <c r="N60" s="11"/>
    </row>
    <row r="61" spans="1:14" ht="15.75" customHeight="1" x14ac:dyDescent="0.35">
      <c r="A61" s="7">
        <v>60</v>
      </c>
      <c r="B61" s="7" t="s">
        <v>106</v>
      </c>
      <c r="C61" s="9" t="str">
        <f>IFERROR(INDEX('Item Bank'!$D$2:$D$78,MATCH($B61,'Item Bank'!$A$2:$A$78,0)),"")</f>
        <v>What is the Wijjo in Kambaata women's culture?</v>
      </c>
      <c r="D61" s="9" t="str">
        <f>IFERROR(INDEX('Item Bank'!$B$2:$B$78,MATCH($B61,'Item Bank'!$A$2:$A$78,0)),"")</f>
        <v>Cooperative Labor</v>
      </c>
      <c r="E61" s="7" t="s">
        <v>440</v>
      </c>
      <c r="F61" s="10">
        <v>46245</v>
      </c>
      <c r="G61" s="11" t="s">
        <v>502</v>
      </c>
      <c r="H61" s="12">
        <v>1</v>
      </c>
      <c r="I61" s="12" t="s">
        <v>442</v>
      </c>
      <c r="J61" s="12">
        <v>0</v>
      </c>
      <c r="K61" s="13"/>
      <c r="L61" s="12" t="s">
        <v>434</v>
      </c>
      <c r="M61" s="12"/>
      <c r="N61" s="11"/>
    </row>
    <row r="62" spans="1:14" ht="15.75" customHeight="1" x14ac:dyDescent="0.35">
      <c r="A62" s="7">
        <v>61</v>
      </c>
      <c r="B62" s="7" t="s">
        <v>110</v>
      </c>
      <c r="C62" s="9" t="str">
        <f>IFERROR(INDEX('Item Bank'!$D$2:$D$78,MATCH($B62,'Item Bank'!$A$2:$A$78,0)),"")</f>
        <v>Who is the Seri Dana (Hera Dana) in Kambaata customary law?</v>
      </c>
      <c r="D62" s="9" t="str">
        <f>IFERROR(INDEX('Item Bank'!$B$2:$B$78,MATCH($B62,'Item Bank'!$A$2:$A$78,0)),"")</f>
        <v>Customary Law</v>
      </c>
      <c r="E62" s="7" t="s">
        <v>431</v>
      </c>
      <c r="F62" s="10">
        <v>46244</v>
      </c>
      <c r="G62" s="11" t="s">
        <v>503</v>
      </c>
      <c r="H62" s="12">
        <v>3</v>
      </c>
      <c r="I62" s="12" t="s">
        <v>444</v>
      </c>
      <c r="J62" s="12">
        <v>0</v>
      </c>
      <c r="K62" s="13"/>
      <c r="L62" s="12" t="s">
        <v>434</v>
      </c>
      <c r="M62" s="12"/>
      <c r="N62" s="11"/>
    </row>
    <row r="63" spans="1:14" ht="15.75" customHeight="1" x14ac:dyDescent="0.35">
      <c r="A63" s="7">
        <v>62</v>
      </c>
      <c r="B63" s="7" t="s">
        <v>110</v>
      </c>
      <c r="C63" s="9" t="str">
        <f>IFERROR(INDEX('Item Bank'!$D$2:$D$78,MATCH($B63,'Item Bank'!$A$2:$A$78,0)),"")</f>
        <v>Who is the Seri Dana (Hera Dana) in Kambaata customary law?</v>
      </c>
      <c r="D63" s="9" t="str">
        <f>IFERROR(INDEX('Item Bank'!$B$2:$B$78,MATCH($B63,'Item Bank'!$A$2:$A$78,0)),"")</f>
        <v>Customary Law</v>
      </c>
      <c r="E63" s="7" t="s">
        <v>435</v>
      </c>
      <c r="F63" s="10">
        <v>46245</v>
      </c>
      <c r="G63" s="11" t="s">
        <v>504</v>
      </c>
      <c r="H63" s="12">
        <v>4</v>
      </c>
      <c r="I63" s="12" t="s">
        <v>444</v>
      </c>
      <c r="J63" s="12">
        <v>0</v>
      </c>
      <c r="K63" s="13"/>
      <c r="L63" s="12" t="s">
        <v>434</v>
      </c>
      <c r="M63" s="12"/>
      <c r="N63" s="11"/>
    </row>
    <row r="64" spans="1:14" ht="15.75" customHeight="1" x14ac:dyDescent="0.35">
      <c r="A64" s="7">
        <v>63</v>
      </c>
      <c r="B64" s="7" t="s">
        <v>110</v>
      </c>
      <c r="C64" s="9" t="str">
        <f>IFERROR(INDEX('Item Bank'!$D$2:$D$78,MATCH($B64,'Item Bank'!$A$2:$A$78,0)),"")</f>
        <v>Who is the Seri Dana (Hera Dana) in Kambaata customary law?</v>
      </c>
      <c r="D64" s="9" t="str">
        <f>IFERROR(INDEX('Item Bank'!$B$2:$B$78,MATCH($B64,'Item Bank'!$A$2:$A$78,0)),"")</f>
        <v>Customary Law</v>
      </c>
      <c r="E64" s="7" t="s">
        <v>438</v>
      </c>
      <c r="F64" s="10">
        <v>46245</v>
      </c>
      <c r="G64" s="11" t="s">
        <v>505</v>
      </c>
      <c r="H64" s="12">
        <v>0</v>
      </c>
      <c r="I64" s="12" t="s">
        <v>444</v>
      </c>
      <c r="J64" s="12">
        <v>0</v>
      </c>
      <c r="K64" s="13"/>
      <c r="L64" s="12" t="s">
        <v>434</v>
      </c>
      <c r="M64" s="12"/>
      <c r="N64" s="11"/>
    </row>
    <row r="65" spans="1:14" ht="15.75" customHeight="1" x14ac:dyDescent="0.35">
      <c r="A65" s="7">
        <v>64</v>
      </c>
      <c r="B65" s="7" t="s">
        <v>110</v>
      </c>
      <c r="C65" s="9" t="str">
        <f>IFERROR(INDEX('Item Bank'!$D$2:$D$78,MATCH($B65,'Item Bank'!$A$2:$A$78,0)),"")</f>
        <v>Who is the Seri Dana (Hera Dana) in Kambaata customary law?</v>
      </c>
      <c r="D65" s="9" t="str">
        <f>IFERROR(INDEX('Item Bank'!$B$2:$B$78,MATCH($B65,'Item Bank'!$A$2:$A$78,0)),"")</f>
        <v>Customary Law</v>
      </c>
      <c r="E65" s="7" t="s">
        <v>440</v>
      </c>
      <c r="F65" s="10">
        <v>46245</v>
      </c>
      <c r="G65" s="11" t="s">
        <v>506</v>
      </c>
      <c r="H65" s="12">
        <v>2</v>
      </c>
      <c r="I65" s="12" t="s">
        <v>442</v>
      </c>
      <c r="J65" s="12">
        <v>0</v>
      </c>
      <c r="K65" s="13"/>
      <c r="L65" s="12" t="s">
        <v>434</v>
      </c>
      <c r="M65" s="12"/>
      <c r="N65" s="11"/>
    </row>
    <row r="66" spans="1:14" ht="15.75" customHeight="1" x14ac:dyDescent="0.35">
      <c r="A66" s="7">
        <v>65</v>
      </c>
      <c r="B66" s="7" t="s">
        <v>115</v>
      </c>
      <c r="C66" s="9" t="str">
        <f>IFERROR(INDEX('Item Bank'!$D$2:$D$78,MATCH($B66,'Item Bank'!$A$2:$A$78,0)),"")</f>
        <v>What is the Yaayya (Yaayyu) in Kambaata customary sanctions?</v>
      </c>
      <c r="D66" s="9" t="str">
        <f>IFERROR(INDEX('Item Bank'!$B$2:$B$78,MATCH($B66,'Item Bank'!$A$2:$A$78,0)),"")</f>
        <v>Customary Law</v>
      </c>
      <c r="E66" s="7" t="s">
        <v>431</v>
      </c>
      <c r="F66" s="10">
        <v>46244</v>
      </c>
      <c r="G66" s="11" t="s">
        <v>507</v>
      </c>
      <c r="H66" s="12">
        <v>2</v>
      </c>
      <c r="I66" s="12" t="s">
        <v>444</v>
      </c>
      <c r="J66" s="12">
        <v>0</v>
      </c>
      <c r="K66" s="13"/>
      <c r="L66" s="12" t="s">
        <v>434</v>
      </c>
      <c r="M66" s="12"/>
      <c r="N66" s="11"/>
    </row>
    <row r="67" spans="1:14" ht="15.75" customHeight="1" x14ac:dyDescent="0.35">
      <c r="A67" s="7">
        <v>66</v>
      </c>
      <c r="B67" s="7" t="s">
        <v>115</v>
      </c>
      <c r="C67" s="9" t="str">
        <f>IFERROR(INDEX('Item Bank'!$D$2:$D$78,MATCH($B67,'Item Bank'!$A$2:$A$78,0)),"")</f>
        <v>What is the Yaayya (Yaayyu) in Kambaata customary sanctions?</v>
      </c>
      <c r="D67" s="9" t="str">
        <f>IFERROR(INDEX('Item Bank'!$B$2:$B$78,MATCH($B67,'Item Bank'!$A$2:$A$78,0)),"")</f>
        <v>Customary Law</v>
      </c>
      <c r="E67" s="7" t="s">
        <v>435</v>
      </c>
      <c r="F67" s="10">
        <v>46245</v>
      </c>
      <c r="G67" s="11" t="s">
        <v>508</v>
      </c>
      <c r="H67" s="12">
        <v>4</v>
      </c>
      <c r="I67" s="12" t="s">
        <v>442</v>
      </c>
      <c r="J67" s="12">
        <v>0</v>
      </c>
      <c r="K67" s="13"/>
      <c r="L67" s="12" t="s">
        <v>434</v>
      </c>
      <c r="M67" s="12"/>
      <c r="N67" s="11"/>
    </row>
    <row r="68" spans="1:14" ht="15.75" customHeight="1" x14ac:dyDescent="0.35">
      <c r="A68" s="7">
        <v>67</v>
      </c>
      <c r="B68" s="7" t="s">
        <v>115</v>
      </c>
      <c r="C68" s="9" t="str">
        <f>IFERROR(INDEX('Item Bank'!$D$2:$D$78,MATCH($B68,'Item Bank'!$A$2:$A$78,0)),"")</f>
        <v>What is the Yaayya (Yaayyu) in Kambaata customary sanctions?</v>
      </c>
      <c r="D68" s="9" t="str">
        <f>IFERROR(INDEX('Item Bank'!$B$2:$B$78,MATCH($B68,'Item Bank'!$A$2:$A$78,0)),"")</f>
        <v>Customary Law</v>
      </c>
      <c r="E68" s="7" t="s">
        <v>438</v>
      </c>
      <c r="F68" s="10">
        <v>46245</v>
      </c>
      <c r="G68" s="11" t="s">
        <v>509</v>
      </c>
      <c r="H68" s="12">
        <v>0</v>
      </c>
      <c r="I68" s="12" t="s">
        <v>444</v>
      </c>
      <c r="J68" s="12">
        <v>0</v>
      </c>
      <c r="K68" s="13"/>
      <c r="L68" s="12" t="s">
        <v>434</v>
      </c>
      <c r="M68" s="12"/>
      <c r="N68" s="11"/>
    </row>
    <row r="69" spans="1:14" ht="15.75" customHeight="1" x14ac:dyDescent="0.35">
      <c r="A69" s="7">
        <v>68</v>
      </c>
      <c r="B69" s="7" t="s">
        <v>115</v>
      </c>
      <c r="C69" s="9" t="str">
        <f>IFERROR(INDEX('Item Bank'!$D$2:$D$78,MATCH($B69,'Item Bank'!$A$2:$A$78,0)),"")</f>
        <v>What is the Yaayya (Yaayyu) in Kambaata customary sanctions?</v>
      </c>
      <c r="D69" s="9" t="str">
        <f>IFERROR(INDEX('Item Bank'!$B$2:$B$78,MATCH($B69,'Item Bank'!$A$2:$A$78,0)),"")</f>
        <v>Customary Law</v>
      </c>
      <c r="E69" s="7" t="s">
        <v>440</v>
      </c>
      <c r="F69" s="10">
        <v>46245</v>
      </c>
      <c r="G69" s="11" t="s">
        <v>510</v>
      </c>
      <c r="H69" s="12">
        <v>0</v>
      </c>
      <c r="I69" s="12" t="s">
        <v>442</v>
      </c>
      <c r="J69" s="12">
        <v>0</v>
      </c>
      <c r="K69" s="13"/>
      <c r="L69" s="12" t="s">
        <v>434</v>
      </c>
      <c r="M69" s="12"/>
      <c r="N69" s="11"/>
    </row>
    <row r="70" spans="1:14" ht="15.75" customHeight="1" x14ac:dyDescent="0.35">
      <c r="A70" s="7">
        <v>69</v>
      </c>
      <c r="B70" s="7" t="s">
        <v>121</v>
      </c>
      <c r="C70" s="9" t="str">
        <f>IFERROR(INDEX('Item Bank'!$D$2:$D$78,MATCH($B70,'Item Bank'!$A$2:$A$78,0)),"")</f>
        <v>What does the conflict-resolution process of Ittansu mean?</v>
      </c>
      <c r="D70" s="9" t="str">
        <f>IFERROR(INDEX('Item Bank'!$B$2:$B$78,MATCH($B70,'Item Bank'!$A$2:$A$78,0)),"")</f>
        <v>Customary Law</v>
      </c>
      <c r="E70" s="7" t="s">
        <v>431</v>
      </c>
      <c r="F70" s="10">
        <v>46244</v>
      </c>
      <c r="G70" s="11" t="s">
        <v>511</v>
      </c>
      <c r="H70" s="12">
        <v>2</v>
      </c>
      <c r="I70" s="12" t="s">
        <v>444</v>
      </c>
      <c r="J70" s="12">
        <v>0</v>
      </c>
      <c r="K70" s="13"/>
      <c r="L70" s="12" t="s">
        <v>434</v>
      </c>
      <c r="M70" s="12"/>
      <c r="N70" s="11"/>
    </row>
    <row r="71" spans="1:14" ht="15.75" customHeight="1" x14ac:dyDescent="0.35">
      <c r="A71" s="7">
        <v>70</v>
      </c>
      <c r="B71" s="7" t="s">
        <v>121</v>
      </c>
      <c r="C71" s="9" t="str">
        <f>IFERROR(INDEX('Item Bank'!$D$2:$D$78,MATCH($B71,'Item Bank'!$A$2:$A$78,0)),"")</f>
        <v>What does the conflict-resolution process of Ittansu mean?</v>
      </c>
      <c r="D71" s="9" t="str">
        <f>IFERROR(INDEX('Item Bank'!$B$2:$B$78,MATCH($B71,'Item Bank'!$A$2:$A$78,0)),"")</f>
        <v>Customary Law</v>
      </c>
      <c r="E71" s="7" t="s">
        <v>435</v>
      </c>
      <c r="F71" s="10">
        <v>46245</v>
      </c>
      <c r="G71" s="11" t="s">
        <v>512</v>
      </c>
      <c r="H71" s="12">
        <v>2</v>
      </c>
      <c r="I71" s="12" t="s">
        <v>448</v>
      </c>
      <c r="J71" s="12">
        <v>1</v>
      </c>
      <c r="K71" s="13" t="s">
        <v>513</v>
      </c>
      <c r="L71" s="12" t="s">
        <v>434</v>
      </c>
      <c r="M71" s="12"/>
      <c r="N71" s="11"/>
    </row>
    <row r="72" spans="1:14" ht="15.75" customHeight="1" x14ac:dyDescent="0.35">
      <c r="A72" s="7">
        <v>71</v>
      </c>
      <c r="B72" s="7" t="s">
        <v>121</v>
      </c>
      <c r="C72" s="9" t="str">
        <f>IFERROR(INDEX('Item Bank'!$D$2:$D$78,MATCH($B72,'Item Bank'!$A$2:$A$78,0)),"")</f>
        <v>What does the conflict-resolution process of Ittansu mean?</v>
      </c>
      <c r="D72" s="9" t="str">
        <f>IFERROR(INDEX('Item Bank'!$B$2:$B$78,MATCH($B72,'Item Bank'!$A$2:$A$78,0)),"")</f>
        <v>Customary Law</v>
      </c>
      <c r="E72" s="7" t="s">
        <v>438</v>
      </c>
      <c r="F72" s="10">
        <v>46245</v>
      </c>
      <c r="G72" s="11" t="s">
        <v>514</v>
      </c>
      <c r="H72" s="12">
        <v>0</v>
      </c>
      <c r="I72" s="12" t="s">
        <v>444</v>
      </c>
      <c r="J72" s="12">
        <v>0</v>
      </c>
      <c r="K72" s="13"/>
      <c r="L72" s="12" t="s">
        <v>434</v>
      </c>
      <c r="M72" s="12"/>
      <c r="N72" s="11"/>
    </row>
    <row r="73" spans="1:14" ht="15.75" customHeight="1" x14ac:dyDescent="0.35">
      <c r="A73" s="7">
        <v>72</v>
      </c>
      <c r="B73" s="7" t="s">
        <v>121</v>
      </c>
      <c r="C73" s="9" t="str">
        <f>IFERROR(INDEX('Item Bank'!$D$2:$D$78,MATCH($B73,'Item Bank'!$A$2:$A$78,0)),"")</f>
        <v>What does the conflict-resolution process of Ittansu mean?</v>
      </c>
      <c r="D73" s="9" t="str">
        <f>IFERROR(INDEX('Item Bank'!$B$2:$B$78,MATCH($B73,'Item Bank'!$A$2:$A$78,0)),"")</f>
        <v>Customary Law</v>
      </c>
      <c r="E73" s="7" t="s">
        <v>440</v>
      </c>
      <c r="F73" s="10">
        <v>46245</v>
      </c>
      <c r="G73" s="11" t="s">
        <v>515</v>
      </c>
      <c r="H73" s="12">
        <v>0</v>
      </c>
      <c r="I73" s="12" t="s">
        <v>442</v>
      </c>
      <c r="J73" s="12">
        <v>0</v>
      </c>
      <c r="K73" s="13"/>
      <c r="L73" s="12" t="s">
        <v>434</v>
      </c>
      <c r="M73" s="12"/>
      <c r="N73" s="11"/>
    </row>
    <row r="74" spans="1:14" ht="15.75" customHeight="1" x14ac:dyDescent="0.35">
      <c r="A74" s="7">
        <v>73</v>
      </c>
      <c r="B74" s="7" t="s">
        <v>126</v>
      </c>
      <c r="C74" s="9" t="str">
        <f>IFERROR(INDEX('Item Bank'!$D$2:$D$78,MATCH($B74,'Item Bank'!$A$2:$A$78,0)),"")</f>
        <v>What is the Geda in traditional Kambaata funeral services?</v>
      </c>
      <c r="D74" s="9" t="str">
        <f>IFERROR(INDEX('Item Bank'!$B$2:$B$78,MATCH($B74,'Item Bank'!$A$2:$A$78,0)),"")</f>
        <v>Funerary Rites</v>
      </c>
      <c r="E74" s="7" t="s">
        <v>431</v>
      </c>
      <c r="F74" s="10">
        <v>46244</v>
      </c>
      <c r="G74" s="11" t="s">
        <v>516</v>
      </c>
      <c r="H74" s="12">
        <v>1</v>
      </c>
      <c r="I74" s="12" t="s">
        <v>442</v>
      </c>
      <c r="J74" s="12">
        <v>0</v>
      </c>
      <c r="K74" s="13"/>
      <c r="L74" s="12" t="s">
        <v>434</v>
      </c>
      <c r="M74" s="12"/>
      <c r="N74" s="11"/>
    </row>
    <row r="75" spans="1:14" ht="15.75" customHeight="1" x14ac:dyDescent="0.35">
      <c r="A75" s="7">
        <v>74</v>
      </c>
      <c r="B75" s="7" t="s">
        <v>126</v>
      </c>
      <c r="C75" s="9" t="str">
        <f>IFERROR(INDEX('Item Bank'!$D$2:$D$78,MATCH($B75,'Item Bank'!$A$2:$A$78,0)),"")</f>
        <v>What is the Geda in traditional Kambaata funeral services?</v>
      </c>
      <c r="D75" s="9" t="str">
        <f>IFERROR(INDEX('Item Bank'!$B$2:$B$78,MATCH($B75,'Item Bank'!$A$2:$A$78,0)),"")</f>
        <v>Funerary Rites</v>
      </c>
      <c r="E75" s="7" t="s">
        <v>435</v>
      </c>
      <c r="F75" s="10">
        <v>46245</v>
      </c>
      <c r="G75" s="11" t="s">
        <v>517</v>
      </c>
      <c r="H75" s="12">
        <v>4</v>
      </c>
      <c r="I75" s="12" t="s">
        <v>444</v>
      </c>
      <c r="J75" s="12">
        <v>0</v>
      </c>
      <c r="K75" s="13"/>
      <c r="L75" s="12" t="s">
        <v>434</v>
      </c>
      <c r="M75" s="12"/>
      <c r="N75" s="11"/>
    </row>
    <row r="76" spans="1:14" ht="15.75" customHeight="1" x14ac:dyDescent="0.35">
      <c r="A76" s="7">
        <v>75</v>
      </c>
      <c r="B76" s="7" t="s">
        <v>126</v>
      </c>
      <c r="C76" s="9" t="str">
        <f>IFERROR(INDEX('Item Bank'!$D$2:$D$78,MATCH($B76,'Item Bank'!$A$2:$A$78,0)),"")</f>
        <v>What is the Geda in traditional Kambaata funeral services?</v>
      </c>
      <c r="D76" s="9" t="str">
        <f>IFERROR(INDEX('Item Bank'!$B$2:$B$78,MATCH($B76,'Item Bank'!$A$2:$A$78,0)),"")</f>
        <v>Funerary Rites</v>
      </c>
      <c r="E76" s="7" t="s">
        <v>438</v>
      </c>
      <c r="F76" s="10">
        <v>46245</v>
      </c>
      <c r="G76" s="11" t="s">
        <v>518</v>
      </c>
      <c r="H76" s="12">
        <v>3</v>
      </c>
      <c r="I76" s="12" t="s">
        <v>444</v>
      </c>
      <c r="J76" s="12">
        <v>0</v>
      </c>
      <c r="K76" s="13"/>
      <c r="L76" s="12" t="s">
        <v>434</v>
      </c>
      <c r="M76" s="12"/>
      <c r="N76" s="11"/>
    </row>
    <row r="77" spans="1:14" ht="15.75" customHeight="1" x14ac:dyDescent="0.35">
      <c r="A77" s="7">
        <v>76</v>
      </c>
      <c r="B77" s="7" t="s">
        <v>126</v>
      </c>
      <c r="C77" s="9" t="str">
        <f>IFERROR(INDEX('Item Bank'!$D$2:$D$78,MATCH($B77,'Item Bank'!$A$2:$A$78,0)),"")</f>
        <v>What is the Geda in traditional Kambaata funeral services?</v>
      </c>
      <c r="D77" s="9" t="str">
        <f>IFERROR(INDEX('Item Bank'!$B$2:$B$78,MATCH($B77,'Item Bank'!$A$2:$A$78,0)),"")</f>
        <v>Funerary Rites</v>
      </c>
      <c r="E77" s="7" t="s">
        <v>440</v>
      </c>
      <c r="F77" s="10">
        <v>46245</v>
      </c>
      <c r="G77" s="11" t="s">
        <v>519</v>
      </c>
      <c r="H77" s="12">
        <v>0</v>
      </c>
      <c r="I77" s="12" t="s">
        <v>444</v>
      </c>
      <c r="J77" s="12">
        <v>0</v>
      </c>
      <c r="K77" s="13"/>
      <c r="L77" s="12" t="s">
        <v>434</v>
      </c>
      <c r="M77" s="12"/>
      <c r="N77" s="11"/>
    </row>
    <row r="78" spans="1:14" ht="15.75" customHeight="1" x14ac:dyDescent="0.35">
      <c r="A78" s="7">
        <v>77</v>
      </c>
      <c r="B78" s="7" t="s">
        <v>132</v>
      </c>
      <c r="C78" s="9" t="str">
        <f>IFERROR(INDEX('Item Bank'!$D$2:$D$78,MATCH($B78,'Item Bank'!$A$2:$A$78,0)),"")</f>
        <v>What is the Qorsishsha in Kambaata marriage practices?</v>
      </c>
      <c r="D78" s="9" t="str">
        <f>IFERROR(INDEX('Item Bank'!$B$2:$B$78,MATCH($B78,'Item Bank'!$A$2:$A$78,0)),"")</f>
        <v>Marriage Practices</v>
      </c>
      <c r="E78" s="7" t="s">
        <v>431</v>
      </c>
      <c r="F78" s="10">
        <v>46244</v>
      </c>
      <c r="G78" s="11" t="s">
        <v>520</v>
      </c>
      <c r="H78" s="12">
        <v>3</v>
      </c>
      <c r="I78" s="12" t="s">
        <v>444</v>
      </c>
      <c r="J78" s="12">
        <v>0</v>
      </c>
      <c r="K78" s="13"/>
      <c r="L78" s="12" t="s">
        <v>434</v>
      </c>
      <c r="M78" s="12"/>
      <c r="N78" s="11"/>
    </row>
    <row r="79" spans="1:14" ht="15.75" customHeight="1" x14ac:dyDescent="0.35">
      <c r="A79" s="7">
        <v>78</v>
      </c>
      <c r="B79" s="7" t="s">
        <v>132</v>
      </c>
      <c r="C79" s="9" t="str">
        <f>IFERROR(INDEX('Item Bank'!$D$2:$D$78,MATCH($B79,'Item Bank'!$A$2:$A$78,0)),"")</f>
        <v>What is the Qorsishsha in Kambaata marriage practices?</v>
      </c>
      <c r="D79" s="9" t="str">
        <f>IFERROR(INDEX('Item Bank'!$B$2:$B$78,MATCH($B79,'Item Bank'!$A$2:$A$78,0)),"")</f>
        <v>Marriage Practices</v>
      </c>
      <c r="E79" s="7" t="s">
        <v>435</v>
      </c>
      <c r="F79" s="10">
        <v>46245</v>
      </c>
      <c r="G79" s="11" t="s">
        <v>521</v>
      </c>
      <c r="H79" s="12">
        <v>4</v>
      </c>
      <c r="I79" s="12" t="s">
        <v>444</v>
      </c>
      <c r="J79" s="12">
        <v>0</v>
      </c>
      <c r="K79" s="13"/>
      <c r="L79" s="12" t="s">
        <v>434</v>
      </c>
      <c r="M79" s="12"/>
      <c r="N79" s="11"/>
    </row>
    <row r="80" spans="1:14" ht="15.75" customHeight="1" x14ac:dyDescent="0.35">
      <c r="A80" s="7">
        <v>79</v>
      </c>
      <c r="B80" s="7" t="s">
        <v>132</v>
      </c>
      <c r="C80" s="9" t="str">
        <f>IFERROR(INDEX('Item Bank'!$D$2:$D$78,MATCH($B80,'Item Bank'!$A$2:$A$78,0)),"")</f>
        <v>What is the Qorsishsha in Kambaata marriage practices?</v>
      </c>
      <c r="D80" s="9" t="str">
        <f>IFERROR(INDEX('Item Bank'!$B$2:$B$78,MATCH($B80,'Item Bank'!$A$2:$A$78,0)),"")</f>
        <v>Marriage Practices</v>
      </c>
      <c r="E80" s="7" t="s">
        <v>438</v>
      </c>
      <c r="F80" s="10">
        <v>46245</v>
      </c>
      <c r="G80" s="11" t="s">
        <v>522</v>
      </c>
      <c r="H80" s="12">
        <v>4</v>
      </c>
      <c r="I80" s="12" t="s">
        <v>444</v>
      </c>
      <c r="J80" s="12">
        <v>0</v>
      </c>
      <c r="K80" s="13"/>
      <c r="L80" s="12" t="s">
        <v>434</v>
      </c>
      <c r="M80" s="12"/>
      <c r="N80" s="11"/>
    </row>
    <row r="81" spans="1:14" ht="15.75" customHeight="1" x14ac:dyDescent="0.35">
      <c r="A81" s="7">
        <v>80</v>
      </c>
      <c r="B81" s="7" t="s">
        <v>132</v>
      </c>
      <c r="C81" s="9" t="str">
        <f>IFERROR(INDEX('Item Bank'!$D$2:$D$78,MATCH($B81,'Item Bank'!$A$2:$A$78,0)),"")</f>
        <v>What is the Qorsishsha in Kambaata marriage practices?</v>
      </c>
      <c r="D81" s="9" t="str">
        <f>IFERROR(INDEX('Item Bank'!$B$2:$B$78,MATCH($B81,'Item Bank'!$A$2:$A$78,0)),"")</f>
        <v>Marriage Practices</v>
      </c>
      <c r="E81" s="7" t="s">
        <v>440</v>
      </c>
      <c r="F81" s="10">
        <v>46245</v>
      </c>
      <c r="G81" s="11" t="s">
        <v>523</v>
      </c>
      <c r="H81" s="12">
        <v>3</v>
      </c>
      <c r="I81" s="12" t="s">
        <v>444</v>
      </c>
      <c r="J81" s="12">
        <v>0</v>
      </c>
      <c r="K81" s="13"/>
      <c r="L81" s="12" t="s">
        <v>434</v>
      </c>
      <c r="M81" s="12"/>
      <c r="N81" s="11"/>
    </row>
    <row r="82" spans="1:14" ht="15.75" customHeight="1" x14ac:dyDescent="0.35">
      <c r="A82" s="7">
        <v>81</v>
      </c>
      <c r="B82" s="7" t="s">
        <v>138</v>
      </c>
      <c r="C82" s="9" t="str">
        <f>IFERROR(INDEX('Item Bank'!$D$2:$D$78,MATCH($B82,'Item Bank'!$A$2:$A$78,0)),"")</f>
        <v>What is the Laabito in Kambaata marriage practices?</v>
      </c>
      <c r="D82" s="9" t="str">
        <f>IFERROR(INDEX('Item Bank'!$B$2:$B$78,MATCH($B82,'Item Bank'!$A$2:$A$78,0)),"")</f>
        <v>Marriage Practices</v>
      </c>
      <c r="E82" s="7" t="s">
        <v>431</v>
      </c>
      <c r="F82" s="10">
        <v>46244</v>
      </c>
      <c r="G82" s="11" t="s">
        <v>524</v>
      </c>
      <c r="H82" s="12">
        <v>4</v>
      </c>
      <c r="I82" s="12" t="s">
        <v>444</v>
      </c>
      <c r="J82" s="12">
        <v>0</v>
      </c>
      <c r="K82" s="13"/>
      <c r="L82" s="12" t="s">
        <v>434</v>
      </c>
      <c r="M82" s="12"/>
      <c r="N82" s="11"/>
    </row>
    <row r="83" spans="1:14" ht="15.75" customHeight="1" x14ac:dyDescent="0.35">
      <c r="A83" s="7">
        <v>82</v>
      </c>
      <c r="B83" s="7" t="s">
        <v>138</v>
      </c>
      <c r="C83" s="9" t="str">
        <f>IFERROR(INDEX('Item Bank'!$D$2:$D$78,MATCH($B83,'Item Bank'!$A$2:$A$78,0)),"")</f>
        <v>What is the Laabito in Kambaata marriage practices?</v>
      </c>
      <c r="D83" s="9" t="str">
        <f>IFERROR(INDEX('Item Bank'!$B$2:$B$78,MATCH($B83,'Item Bank'!$A$2:$A$78,0)),"")</f>
        <v>Marriage Practices</v>
      </c>
      <c r="E83" s="7" t="s">
        <v>435</v>
      </c>
      <c r="F83" s="10">
        <v>46245</v>
      </c>
      <c r="G83" s="11" t="s">
        <v>525</v>
      </c>
      <c r="H83" s="12">
        <v>0</v>
      </c>
      <c r="I83" s="12" t="s">
        <v>448</v>
      </c>
      <c r="J83" s="12">
        <v>0</v>
      </c>
      <c r="K83" s="13"/>
      <c r="L83" s="12" t="s">
        <v>434</v>
      </c>
      <c r="M83" s="12"/>
      <c r="N83" s="11"/>
    </row>
    <row r="84" spans="1:14" ht="15.75" customHeight="1" x14ac:dyDescent="0.35">
      <c r="A84" s="7">
        <v>83</v>
      </c>
      <c r="B84" s="7" t="s">
        <v>138</v>
      </c>
      <c r="C84" s="9" t="str">
        <f>IFERROR(INDEX('Item Bank'!$D$2:$D$78,MATCH($B84,'Item Bank'!$A$2:$A$78,0)),"")</f>
        <v>What is the Laabito in Kambaata marriage practices?</v>
      </c>
      <c r="D84" s="9" t="str">
        <f>IFERROR(INDEX('Item Bank'!$B$2:$B$78,MATCH($B84,'Item Bank'!$A$2:$A$78,0)),"")</f>
        <v>Marriage Practices</v>
      </c>
      <c r="E84" s="7" t="s">
        <v>438</v>
      </c>
      <c r="F84" s="10">
        <v>46245</v>
      </c>
      <c r="G84" s="11" t="s">
        <v>526</v>
      </c>
      <c r="H84" s="12">
        <v>0</v>
      </c>
      <c r="I84" s="12" t="s">
        <v>444</v>
      </c>
      <c r="J84" s="12">
        <v>0</v>
      </c>
      <c r="K84" s="13"/>
      <c r="L84" s="12" t="s">
        <v>434</v>
      </c>
      <c r="M84" s="12"/>
      <c r="N84" s="11"/>
    </row>
    <row r="85" spans="1:14" ht="15.75" customHeight="1" x14ac:dyDescent="0.35">
      <c r="A85" s="7">
        <v>84</v>
      </c>
      <c r="B85" s="7" t="s">
        <v>138</v>
      </c>
      <c r="C85" s="9" t="str">
        <f>IFERROR(INDEX('Item Bank'!$D$2:$D$78,MATCH($B85,'Item Bank'!$A$2:$A$78,0)),"")</f>
        <v>What is the Laabito in Kambaata marriage practices?</v>
      </c>
      <c r="D85" s="9" t="str">
        <f>IFERROR(INDEX('Item Bank'!$B$2:$B$78,MATCH($B85,'Item Bank'!$A$2:$A$78,0)),"")</f>
        <v>Marriage Practices</v>
      </c>
      <c r="E85" s="7" t="s">
        <v>440</v>
      </c>
      <c r="F85" s="10">
        <v>46245</v>
      </c>
      <c r="G85" s="11" t="s">
        <v>527</v>
      </c>
      <c r="H85" s="12">
        <v>0</v>
      </c>
      <c r="I85" s="12" t="s">
        <v>444</v>
      </c>
      <c r="J85" s="12">
        <v>0</v>
      </c>
      <c r="K85" s="13"/>
      <c r="L85" s="12" t="s">
        <v>434</v>
      </c>
      <c r="M85" s="12"/>
      <c r="N85" s="11"/>
    </row>
    <row r="86" spans="1:14" ht="15.75" customHeight="1" x14ac:dyDescent="0.35">
      <c r="A86" s="7">
        <v>85</v>
      </c>
      <c r="B86" s="7" t="s">
        <v>143</v>
      </c>
      <c r="C86" s="9" t="str">
        <f>IFERROR(INDEX('Item Bank'!$D$2:$D$78,MATCH($B86,'Item Bank'!$A$2:$A$78,0)),"")</f>
        <v>What is the Heerato in Kambaata marriage types?</v>
      </c>
      <c r="D86" s="9" t="str">
        <f>IFERROR(INDEX('Item Bank'!$B$2:$B$78,MATCH($B86,'Item Bank'!$A$2:$A$78,0)),"")</f>
        <v>Marriage Practices</v>
      </c>
      <c r="E86" s="7" t="s">
        <v>431</v>
      </c>
      <c r="F86" s="10">
        <v>46244</v>
      </c>
      <c r="G86" s="11" t="s">
        <v>528</v>
      </c>
      <c r="H86" s="12">
        <v>3</v>
      </c>
      <c r="I86" s="12" t="s">
        <v>442</v>
      </c>
      <c r="J86" s="12">
        <v>0</v>
      </c>
      <c r="K86" s="13"/>
      <c r="L86" s="12" t="s">
        <v>434</v>
      </c>
      <c r="M86" s="12"/>
      <c r="N86" s="11"/>
    </row>
    <row r="87" spans="1:14" ht="15.75" customHeight="1" x14ac:dyDescent="0.35">
      <c r="A87" s="7">
        <v>86</v>
      </c>
      <c r="B87" s="7" t="s">
        <v>143</v>
      </c>
      <c r="C87" s="9" t="str">
        <f>IFERROR(INDEX('Item Bank'!$D$2:$D$78,MATCH($B87,'Item Bank'!$A$2:$A$78,0)),"")</f>
        <v>What is the Heerato in Kambaata marriage types?</v>
      </c>
      <c r="D87" s="9" t="str">
        <f>IFERROR(INDEX('Item Bank'!$B$2:$B$78,MATCH($B87,'Item Bank'!$A$2:$A$78,0)),"")</f>
        <v>Marriage Practices</v>
      </c>
      <c r="E87" s="7" t="s">
        <v>435</v>
      </c>
      <c r="F87" s="10">
        <v>46245</v>
      </c>
      <c r="G87" s="11" t="s">
        <v>529</v>
      </c>
      <c r="H87" s="12">
        <v>1</v>
      </c>
      <c r="I87" s="12" t="s">
        <v>448</v>
      </c>
      <c r="J87" s="12">
        <v>0</v>
      </c>
      <c r="K87" s="13"/>
      <c r="L87" s="12" t="s">
        <v>434</v>
      </c>
      <c r="M87" s="12"/>
      <c r="N87" s="11"/>
    </row>
    <row r="88" spans="1:14" ht="15.75" customHeight="1" x14ac:dyDescent="0.35">
      <c r="A88" s="7">
        <v>87</v>
      </c>
      <c r="B88" s="7" t="s">
        <v>143</v>
      </c>
      <c r="C88" s="9" t="str">
        <f>IFERROR(INDEX('Item Bank'!$D$2:$D$78,MATCH($B88,'Item Bank'!$A$2:$A$78,0)),"")</f>
        <v>What is the Heerato in Kambaata marriage types?</v>
      </c>
      <c r="D88" s="9" t="str">
        <f>IFERROR(INDEX('Item Bank'!$B$2:$B$78,MATCH($B88,'Item Bank'!$A$2:$A$78,0)),"")</f>
        <v>Marriage Practices</v>
      </c>
      <c r="E88" s="7" t="s">
        <v>438</v>
      </c>
      <c r="F88" s="10">
        <v>46245</v>
      </c>
      <c r="G88" s="11" t="s">
        <v>530</v>
      </c>
      <c r="H88" s="12">
        <v>1</v>
      </c>
      <c r="I88" s="12" t="s">
        <v>444</v>
      </c>
      <c r="J88" s="12">
        <v>0</v>
      </c>
      <c r="K88" s="13"/>
      <c r="L88" s="12" t="s">
        <v>434</v>
      </c>
      <c r="M88" s="12"/>
      <c r="N88" s="11"/>
    </row>
    <row r="89" spans="1:14" ht="15.75" customHeight="1" x14ac:dyDescent="0.35">
      <c r="A89" s="7">
        <v>88</v>
      </c>
      <c r="B89" s="7" t="s">
        <v>143</v>
      </c>
      <c r="C89" s="9" t="str">
        <f>IFERROR(INDEX('Item Bank'!$D$2:$D$78,MATCH($B89,'Item Bank'!$A$2:$A$78,0)),"")</f>
        <v>What is the Heerato in Kambaata marriage types?</v>
      </c>
      <c r="D89" s="9" t="str">
        <f>IFERROR(INDEX('Item Bank'!$B$2:$B$78,MATCH($B89,'Item Bank'!$A$2:$A$78,0)),"")</f>
        <v>Marriage Practices</v>
      </c>
      <c r="E89" s="7" t="s">
        <v>440</v>
      </c>
      <c r="F89" s="10">
        <v>46245</v>
      </c>
      <c r="G89" s="11" t="s">
        <v>531</v>
      </c>
      <c r="H89" s="12">
        <v>0</v>
      </c>
      <c r="I89" s="12" t="s">
        <v>444</v>
      </c>
      <c r="J89" s="12">
        <v>0</v>
      </c>
      <c r="K89" s="13"/>
      <c r="L89" s="12" t="s">
        <v>434</v>
      </c>
      <c r="M89" s="12"/>
      <c r="N89" s="11"/>
    </row>
    <row r="90" spans="1:14" ht="15.75" customHeight="1" x14ac:dyDescent="0.35">
      <c r="A90" s="7">
        <v>89</v>
      </c>
      <c r="B90" s="7" t="s">
        <v>148</v>
      </c>
      <c r="C90" s="9" t="str">
        <f>IFERROR(INDEX('Item Bank'!$D$2:$D$78,MATCH($B90,'Item Bank'!$A$2:$A$78,0)),"")</f>
        <v>What is the Bolocha (Bollochcha) in Kambaata we+D24dding custom?</v>
      </c>
      <c r="D90" s="9" t="str">
        <f>IFERROR(INDEX('Item Bank'!$B$2:$B$78,MATCH($B90,'Item Bank'!$A$2:$A$78,0)),"")</f>
        <v>Marriage Practices</v>
      </c>
      <c r="E90" s="7" t="s">
        <v>431</v>
      </c>
      <c r="F90" s="10">
        <v>46244</v>
      </c>
      <c r="G90" s="11" t="s">
        <v>532</v>
      </c>
      <c r="H90" s="12">
        <v>3</v>
      </c>
      <c r="I90" s="12" t="s">
        <v>444</v>
      </c>
      <c r="J90" s="12">
        <v>0</v>
      </c>
      <c r="K90" s="13"/>
      <c r="L90" s="12" t="s">
        <v>434</v>
      </c>
      <c r="M90" s="12"/>
      <c r="N90" s="11"/>
    </row>
    <row r="91" spans="1:14" ht="15.75" customHeight="1" x14ac:dyDescent="0.35">
      <c r="A91" s="7">
        <v>90</v>
      </c>
      <c r="B91" s="7" t="s">
        <v>148</v>
      </c>
      <c r="C91" s="9" t="str">
        <f>IFERROR(INDEX('Item Bank'!$D$2:$D$78,MATCH($B91,'Item Bank'!$A$2:$A$78,0)),"")</f>
        <v>What is the Bolocha (Bollochcha) in Kambaata we+D24dding custom?</v>
      </c>
      <c r="D91" s="9" t="str">
        <f>IFERROR(INDEX('Item Bank'!$B$2:$B$78,MATCH($B91,'Item Bank'!$A$2:$A$78,0)),"")</f>
        <v>Marriage Practices</v>
      </c>
      <c r="E91" s="7" t="s">
        <v>435</v>
      </c>
      <c r="F91" s="10">
        <v>46245</v>
      </c>
      <c r="G91" s="11" t="s">
        <v>533</v>
      </c>
      <c r="H91" s="12">
        <v>2</v>
      </c>
      <c r="I91" s="12" t="s">
        <v>442</v>
      </c>
      <c r="J91" s="12">
        <v>0</v>
      </c>
      <c r="K91" s="13"/>
      <c r="L91" s="12" t="s">
        <v>434</v>
      </c>
      <c r="M91" s="12"/>
      <c r="N91" s="11"/>
    </row>
    <row r="92" spans="1:14" ht="15.75" customHeight="1" x14ac:dyDescent="0.35">
      <c r="A92" s="7">
        <v>91</v>
      </c>
      <c r="B92" s="7" t="s">
        <v>148</v>
      </c>
      <c r="C92" s="9" t="str">
        <f>IFERROR(INDEX('Item Bank'!$D$2:$D$78,MATCH($B92,'Item Bank'!$A$2:$A$78,0)),"")</f>
        <v>What is the Bolocha (Bollochcha) in Kambaata we+D24dding custom?</v>
      </c>
      <c r="D92" s="9" t="str">
        <f>IFERROR(INDEX('Item Bank'!$B$2:$B$78,MATCH($B92,'Item Bank'!$A$2:$A$78,0)),"")</f>
        <v>Marriage Practices</v>
      </c>
      <c r="E92" s="7" t="s">
        <v>438</v>
      </c>
      <c r="F92" s="10">
        <v>46245</v>
      </c>
      <c r="G92" s="11" t="s">
        <v>534</v>
      </c>
      <c r="H92" s="12">
        <v>0</v>
      </c>
      <c r="I92" s="12" t="s">
        <v>444</v>
      </c>
      <c r="J92" s="12">
        <v>0</v>
      </c>
      <c r="K92" s="13"/>
      <c r="L92" s="12" t="s">
        <v>434</v>
      </c>
      <c r="M92" s="12"/>
      <c r="N92" s="11"/>
    </row>
    <row r="93" spans="1:14" ht="15.75" customHeight="1" x14ac:dyDescent="0.35">
      <c r="A93" s="7">
        <v>92</v>
      </c>
      <c r="B93" s="7" t="s">
        <v>148</v>
      </c>
      <c r="C93" s="9" t="str">
        <f>IFERROR(INDEX('Item Bank'!$D$2:$D$78,MATCH($B93,'Item Bank'!$A$2:$A$78,0)),"")</f>
        <v>What is the Bolocha (Bollochcha) in Kambaata we+D24dding custom?</v>
      </c>
      <c r="D93" s="9" t="str">
        <f>IFERROR(INDEX('Item Bank'!$B$2:$B$78,MATCH($B93,'Item Bank'!$A$2:$A$78,0)),"")</f>
        <v>Marriage Practices</v>
      </c>
      <c r="E93" s="7" t="s">
        <v>440</v>
      </c>
      <c r="F93" s="10">
        <v>46245</v>
      </c>
      <c r="G93" s="11" t="s">
        <v>535</v>
      </c>
      <c r="H93" s="12">
        <v>4</v>
      </c>
      <c r="I93" s="12" t="s">
        <v>444</v>
      </c>
      <c r="J93" s="12">
        <v>0</v>
      </c>
      <c r="K93" s="13"/>
      <c r="L93" s="12" t="s">
        <v>434</v>
      </c>
      <c r="M93" s="12"/>
      <c r="N93" s="11"/>
    </row>
    <row r="94" spans="1:14" ht="15.75" customHeight="1" x14ac:dyDescent="0.35">
      <c r="A94" s="7">
        <v>93</v>
      </c>
      <c r="B94" s="7" t="s">
        <v>153</v>
      </c>
      <c r="C94" s="9" t="str">
        <f>IFERROR(INDEX('Item Bank'!$D$2:$D$78,MATCH($B94,'Item Bank'!$A$2:$A$78,0)),"")</f>
        <v>What is the Kiiffa in Kambaata marriage rituals?</v>
      </c>
      <c r="D94" s="9" t="str">
        <f>IFERROR(INDEX('Item Bank'!$B$2:$B$78,MATCH($B94,'Item Bank'!$A$2:$A$78,0)),"")</f>
        <v>Marriage Practices</v>
      </c>
      <c r="E94" s="7" t="s">
        <v>431</v>
      </c>
      <c r="F94" s="10">
        <v>46244</v>
      </c>
      <c r="G94" s="11" t="s">
        <v>536</v>
      </c>
      <c r="H94" s="12">
        <v>1</v>
      </c>
      <c r="I94" s="12" t="s">
        <v>442</v>
      </c>
      <c r="J94" s="12">
        <v>0</v>
      </c>
      <c r="K94" s="13"/>
      <c r="L94" s="12" t="s">
        <v>434</v>
      </c>
      <c r="M94" s="12"/>
      <c r="N94" s="11"/>
    </row>
    <row r="95" spans="1:14" ht="15.75" customHeight="1" x14ac:dyDescent="0.35">
      <c r="A95" s="7">
        <v>94</v>
      </c>
      <c r="B95" s="7" t="s">
        <v>153</v>
      </c>
      <c r="C95" s="9" t="str">
        <f>IFERROR(INDEX('Item Bank'!$D$2:$D$78,MATCH($B95,'Item Bank'!$A$2:$A$78,0)),"")</f>
        <v>What is the Kiiffa in Kambaata marriage rituals?</v>
      </c>
      <c r="D95" s="9" t="str">
        <f>IFERROR(INDEX('Item Bank'!$B$2:$B$78,MATCH($B95,'Item Bank'!$A$2:$A$78,0)),"")</f>
        <v>Marriage Practices</v>
      </c>
      <c r="E95" s="7" t="s">
        <v>435</v>
      </c>
      <c r="F95" s="10">
        <v>46245</v>
      </c>
      <c r="G95" s="11" t="s">
        <v>537</v>
      </c>
      <c r="H95" s="12">
        <v>4</v>
      </c>
      <c r="I95" s="12" t="s">
        <v>444</v>
      </c>
      <c r="J95" s="12">
        <v>0</v>
      </c>
      <c r="K95" s="13"/>
      <c r="L95" s="12" t="s">
        <v>434</v>
      </c>
      <c r="M95" s="12"/>
      <c r="N95" s="11"/>
    </row>
    <row r="96" spans="1:14" ht="15.75" customHeight="1" x14ac:dyDescent="0.35">
      <c r="A96" s="7">
        <v>95</v>
      </c>
      <c r="B96" s="7" t="s">
        <v>153</v>
      </c>
      <c r="C96" s="9" t="str">
        <f>IFERROR(INDEX('Item Bank'!$D$2:$D$78,MATCH($B96,'Item Bank'!$A$2:$A$78,0)),"")</f>
        <v>What is the Kiiffa in Kambaata marriage rituals?</v>
      </c>
      <c r="D96" s="9" t="str">
        <f>IFERROR(INDEX('Item Bank'!$B$2:$B$78,MATCH($B96,'Item Bank'!$A$2:$A$78,0)),"")</f>
        <v>Marriage Practices</v>
      </c>
      <c r="E96" s="7" t="s">
        <v>438</v>
      </c>
      <c r="F96" s="10">
        <v>46245</v>
      </c>
      <c r="G96" s="11" t="s">
        <v>538</v>
      </c>
      <c r="H96" s="12">
        <v>0</v>
      </c>
      <c r="I96" s="12" t="s">
        <v>444</v>
      </c>
      <c r="J96" s="12">
        <v>0</v>
      </c>
      <c r="K96" s="13"/>
      <c r="L96" s="12" t="s">
        <v>434</v>
      </c>
      <c r="M96" s="12"/>
      <c r="N96" s="11"/>
    </row>
    <row r="97" spans="1:14" ht="15.75" customHeight="1" x14ac:dyDescent="0.35">
      <c r="A97" s="7">
        <v>96</v>
      </c>
      <c r="B97" s="7" t="s">
        <v>153</v>
      </c>
      <c r="C97" s="9" t="str">
        <f>IFERROR(INDEX('Item Bank'!$D$2:$D$78,MATCH($B97,'Item Bank'!$A$2:$A$78,0)),"")</f>
        <v>What is the Kiiffa in Kambaata marriage rituals?</v>
      </c>
      <c r="D97" s="9" t="str">
        <f>IFERROR(INDEX('Item Bank'!$B$2:$B$78,MATCH($B97,'Item Bank'!$A$2:$A$78,0)),"")</f>
        <v>Marriage Practices</v>
      </c>
      <c r="E97" s="7" t="s">
        <v>440</v>
      </c>
      <c r="F97" s="10">
        <v>46245</v>
      </c>
      <c r="G97" s="11" t="s">
        <v>539</v>
      </c>
      <c r="H97" s="12">
        <v>0</v>
      </c>
      <c r="I97" s="12" t="s">
        <v>444</v>
      </c>
      <c r="J97" s="12">
        <v>0</v>
      </c>
      <c r="K97" s="13"/>
      <c r="L97" s="12" t="s">
        <v>434</v>
      </c>
      <c r="M97" s="12"/>
      <c r="N97" s="11"/>
    </row>
    <row r="98" spans="1:14" ht="15.75" customHeight="1" x14ac:dyDescent="0.35">
      <c r="A98" s="7">
        <v>97</v>
      </c>
      <c r="B98" s="7" t="s">
        <v>157</v>
      </c>
      <c r="C98" s="9" t="str">
        <f>IFERROR(INDEX('Item Bank'!$D$2:$D$78,MATCH($B98,'Item Bank'!$A$2:$A$78,0)),"")</f>
        <v>What is the Calalaqa in Kambaata marriage?</v>
      </c>
      <c r="D98" s="9" t="str">
        <f>IFERROR(INDEX('Item Bank'!$B$2:$B$78,MATCH($B98,'Item Bank'!$A$2:$A$78,0)),"")</f>
        <v>Marriage Practices</v>
      </c>
      <c r="E98" s="7" t="s">
        <v>431</v>
      </c>
      <c r="F98" s="10">
        <v>46244</v>
      </c>
      <c r="G98" s="11" t="s">
        <v>540</v>
      </c>
      <c r="H98" s="12">
        <v>1</v>
      </c>
      <c r="I98" s="12" t="s">
        <v>442</v>
      </c>
      <c r="J98" s="12">
        <v>0</v>
      </c>
      <c r="K98" s="13"/>
      <c r="L98" s="12" t="s">
        <v>434</v>
      </c>
      <c r="M98" s="12"/>
      <c r="N98" s="11"/>
    </row>
    <row r="99" spans="1:14" ht="15.75" customHeight="1" x14ac:dyDescent="0.35">
      <c r="A99" s="7">
        <v>98</v>
      </c>
      <c r="B99" s="7" t="s">
        <v>157</v>
      </c>
      <c r="C99" s="9" t="str">
        <f>IFERROR(INDEX('Item Bank'!$D$2:$D$78,MATCH($B99,'Item Bank'!$A$2:$A$78,0)),"")</f>
        <v>What is the Calalaqa in Kambaata marriage?</v>
      </c>
      <c r="D99" s="9" t="str">
        <f>IFERROR(INDEX('Item Bank'!$B$2:$B$78,MATCH($B99,'Item Bank'!$A$2:$A$78,0)),"")</f>
        <v>Marriage Practices</v>
      </c>
      <c r="E99" s="7" t="s">
        <v>435</v>
      </c>
      <c r="F99" s="10">
        <v>46245</v>
      </c>
      <c r="G99" s="11" t="s">
        <v>541</v>
      </c>
      <c r="H99" s="12">
        <v>0</v>
      </c>
      <c r="I99" s="12" t="s">
        <v>448</v>
      </c>
      <c r="J99" s="12">
        <v>0</v>
      </c>
      <c r="K99" s="13"/>
      <c r="L99" s="12" t="s">
        <v>434</v>
      </c>
      <c r="M99" s="12"/>
      <c r="N99" s="11"/>
    </row>
    <row r="100" spans="1:14" ht="15.75" customHeight="1" x14ac:dyDescent="0.35">
      <c r="A100" s="7">
        <v>99</v>
      </c>
      <c r="B100" s="7" t="s">
        <v>157</v>
      </c>
      <c r="C100" s="9" t="str">
        <f>IFERROR(INDEX('Item Bank'!$D$2:$D$78,MATCH($B100,'Item Bank'!$A$2:$A$78,0)),"")</f>
        <v>What is the Calalaqa in Kambaata marriage?</v>
      </c>
      <c r="D100" s="9" t="str">
        <f>IFERROR(INDEX('Item Bank'!$B$2:$B$78,MATCH($B100,'Item Bank'!$A$2:$A$78,0)),"")</f>
        <v>Marriage Practices</v>
      </c>
      <c r="E100" s="7" t="s">
        <v>438</v>
      </c>
      <c r="F100" s="10">
        <v>46245</v>
      </c>
      <c r="G100" s="11" t="s">
        <v>542</v>
      </c>
      <c r="H100" s="12">
        <v>0</v>
      </c>
      <c r="I100" s="12" t="s">
        <v>444</v>
      </c>
      <c r="J100" s="12">
        <v>0</v>
      </c>
      <c r="K100" s="13"/>
      <c r="L100" s="12" t="s">
        <v>434</v>
      </c>
      <c r="M100" s="12"/>
      <c r="N100" s="11"/>
    </row>
    <row r="101" spans="1:14" ht="15.75" customHeight="1" x14ac:dyDescent="0.35">
      <c r="A101" s="7">
        <v>100</v>
      </c>
      <c r="B101" s="7" t="s">
        <v>157</v>
      </c>
      <c r="C101" s="9" t="str">
        <f>IFERROR(INDEX('Item Bank'!$D$2:$D$78,MATCH($B101,'Item Bank'!$A$2:$A$78,0)),"")</f>
        <v>What is the Calalaqa in Kambaata marriage?</v>
      </c>
      <c r="D101" s="9" t="str">
        <f>IFERROR(INDEX('Item Bank'!$B$2:$B$78,MATCH($B101,'Item Bank'!$A$2:$A$78,0)),"")</f>
        <v>Marriage Practices</v>
      </c>
      <c r="E101" s="7" t="s">
        <v>440</v>
      </c>
      <c r="F101" s="10">
        <v>46245</v>
      </c>
      <c r="G101" s="11" t="s">
        <v>543</v>
      </c>
      <c r="H101" s="12">
        <v>0</v>
      </c>
      <c r="I101" s="12" t="s">
        <v>444</v>
      </c>
      <c r="J101" s="12">
        <v>0</v>
      </c>
      <c r="K101" s="13"/>
      <c r="L101" s="12" t="s">
        <v>434</v>
      </c>
      <c r="M101" s="12"/>
      <c r="N101" s="11"/>
    </row>
    <row r="102" spans="1:14" ht="15.75" customHeight="1" x14ac:dyDescent="0.35">
      <c r="A102" s="7">
        <v>101</v>
      </c>
      <c r="B102" s="7" t="s">
        <v>161</v>
      </c>
      <c r="C102" s="9" t="str">
        <f>IFERROR(INDEX('Item Bank'!$D$2:$D$78,MATCH($B102,'Item Bank'!$A$2:$A$78,0)),"")</f>
        <v>Who are the Hamamota (Sifla) in Kambaata wedding?</v>
      </c>
      <c r="D102" s="9" t="str">
        <f>IFERROR(INDEX('Item Bank'!$B$2:$B$78,MATCH($B102,'Item Bank'!$A$2:$A$78,0)),"")</f>
        <v>Marriage Practices</v>
      </c>
      <c r="E102" s="7" t="s">
        <v>431</v>
      </c>
      <c r="F102" s="10">
        <v>46244</v>
      </c>
      <c r="G102" s="11" t="s">
        <v>544</v>
      </c>
      <c r="H102" s="12">
        <v>3</v>
      </c>
      <c r="I102" s="12" t="s">
        <v>444</v>
      </c>
      <c r="J102" s="12">
        <v>0</v>
      </c>
      <c r="K102" s="13"/>
      <c r="L102" s="12" t="s">
        <v>434</v>
      </c>
      <c r="M102" s="12"/>
      <c r="N102" s="11"/>
    </row>
    <row r="103" spans="1:14" ht="15.75" customHeight="1" x14ac:dyDescent="0.35">
      <c r="A103" s="7">
        <v>102</v>
      </c>
      <c r="B103" s="7" t="s">
        <v>161</v>
      </c>
      <c r="C103" s="9" t="str">
        <f>IFERROR(INDEX('Item Bank'!$D$2:$D$78,MATCH($B103,'Item Bank'!$A$2:$A$78,0)),"")</f>
        <v>Who are the Hamamota (Sifla) in Kambaata wedding?</v>
      </c>
      <c r="D103" s="9" t="str">
        <f>IFERROR(INDEX('Item Bank'!$B$2:$B$78,MATCH($B103,'Item Bank'!$A$2:$A$78,0)),"")</f>
        <v>Marriage Practices</v>
      </c>
      <c r="E103" s="7" t="s">
        <v>435</v>
      </c>
      <c r="F103" s="10">
        <v>46245</v>
      </c>
      <c r="G103" s="11" t="s">
        <v>545</v>
      </c>
      <c r="H103" s="12">
        <v>4</v>
      </c>
      <c r="I103" s="12" t="s">
        <v>444</v>
      </c>
      <c r="J103" s="12">
        <v>0</v>
      </c>
      <c r="K103" s="13"/>
      <c r="L103" s="12" t="s">
        <v>434</v>
      </c>
      <c r="M103" s="12"/>
      <c r="N103" s="11"/>
    </row>
    <row r="104" spans="1:14" ht="15.75" customHeight="1" x14ac:dyDescent="0.35">
      <c r="A104" s="7">
        <v>103</v>
      </c>
      <c r="B104" s="7" t="s">
        <v>161</v>
      </c>
      <c r="C104" s="9" t="str">
        <f>IFERROR(INDEX('Item Bank'!$D$2:$D$78,MATCH($B104,'Item Bank'!$A$2:$A$78,0)),"")</f>
        <v>Who are the Hamamota (Sifla) in Kambaata wedding?</v>
      </c>
      <c r="D104" s="9" t="str">
        <f>IFERROR(INDEX('Item Bank'!$B$2:$B$78,MATCH($B104,'Item Bank'!$A$2:$A$78,0)),"")</f>
        <v>Marriage Practices</v>
      </c>
      <c r="E104" s="7" t="s">
        <v>438</v>
      </c>
      <c r="F104" s="10">
        <v>46245</v>
      </c>
      <c r="G104" s="11" t="s">
        <v>546</v>
      </c>
      <c r="H104" s="12">
        <v>0</v>
      </c>
      <c r="I104" s="12" t="s">
        <v>444</v>
      </c>
      <c r="J104" s="12">
        <v>0</v>
      </c>
      <c r="K104" s="13"/>
      <c r="L104" s="12" t="s">
        <v>434</v>
      </c>
      <c r="M104" s="12"/>
      <c r="N104" s="11"/>
    </row>
    <row r="105" spans="1:14" ht="15.75" customHeight="1" x14ac:dyDescent="0.35">
      <c r="A105" s="7">
        <v>104</v>
      </c>
      <c r="B105" s="7" t="s">
        <v>161</v>
      </c>
      <c r="C105" s="9" t="str">
        <f>IFERROR(INDEX('Item Bank'!$D$2:$D$78,MATCH($B105,'Item Bank'!$A$2:$A$78,0)),"")</f>
        <v>Who are the Hamamota (Sifla) in Kambaata wedding?</v>
      </c>
      <c r="D105" s="9" t="str">
        <f>IFERROR(INDEX('Item Bank'!$B$2:$B$78,MATCH($B105,'Item Bank'!$A$2:$A$78,0)),"")</f>
        <v>Marriage Practices</v>
      </c>
      <c r="E105" s="7" t="s">
        <v>440</v>
      </c>
      <c r="F105" s="10">
        <v>46245</v>
      </c>
      <c r="G105" s="11" t="s">
        <v>547</v>
      </c>
      <c r="H105" s="12">
        <v>0</v>
      </c>
      <c r="I105" s="12" t="s">
        <v>444</v>
      </c>
      <c r="J105" s="12">
        <v>0</v>
      </c>
      <c r="K105" s="13"/>
      <c r="L105" s="12" t="s">
        <v>434</v>
      </c>
      <c r="M105" s="12"/>
      <c r="N105" s="11"/>
    </row>
    <row r="106" spans="1:14" ht="15.75" customHeight="1" x14ac:dyDescent="0.35">
      <c r="A106" s="7">
        <v>105</v>
      </c>
      <c r="B106" s="7" t="s">
        <v>165</v>
      </c>
      <c r="C106" s="9" t="str">
        <f>IFERROR(INDEX('Item Bank'!$D$2:$D$78,MATCH($B106,'Item Bank'!$A$2:$A$78,0)),"")</f>
        <v>What are the Erifo'o return wedding gifts in Kambaata culture?</v>
      </c>
      <c r="D106" s="9" t="str">
        <f>IFERROR(INDEX('Item Bank'!$B$2:$B$78,MATCH($B106,'Item Bank'!$A$2:$A$78,0)),"")</f>
        <v>Marriage Practices</v>
      </c>
      <c r="E106" s="7" t="s">
        <v>431</v>
      </c>
      <c r="F106" s="10">
        <v>46244</v>
      </c>
      <c r="G106" s="11" t="s">
        <v>548</v>
      </c>
      <c r="H106" s="12">
        <v>1</v>
      </c>
      <c r="I106" s="12" t="s">
        <v>442</v>
      </c>
      <c r="J106" s="12">
        <v>0</v>
      </c>
      <c r="K106" s="13"/>
      <c r="L106" s="12" t="s">
        <v>434</v>
      </c>
      <c r="M106" s="12"/>
      <c r="N106" s="11"/>
    </row>
    <row r="107" spans="1:14" ht="15.75" customHeight="1" x14ac:dyDescent="0.35">
      <c r="A107" s="7">
        <v>106</v>
      </c>
      <c r="B107" s="7" t="s">
        <v>165</v>
      </c>
      <c r="C107" s="9" t="str">
        <f>IFERROR(INDEX('Item Bank'!$D$2:$D$78,MATCH($B107,'Item Bank'!$A$2:$A$78,0)),"")</f>
        <v>What are the Erifo'o return wedding gifts in Kambaata culture?</v>
      </c>
      <c r="D107" s="9" t="str">
        <f>IFERROR(INDEX('Item Bank'!$B$2:$B$78,MATCH($B107,'Item Bank'!$A$2:$A$78,0)),"")</f>
        <v>Marriage Practices</v>
      </c>
      <c r="E107" s="7" t="s">
        <v>435</v>
      </c>
      <c r="F107" s="10">
        <v>46245</v>
      </c>
      <c r="G107" s="11" t="s">
        <v>549</v>
      </c>
      <c r="H107" s="12">
        <v>1</v>
      </c>
      <c r="I107" s="12" t="s">
        <v>442</v>
      </c>
      <c r="J107" s="12">
        <v>0</v>
      </c>
      <c r="K107" s="13"/>
      <c r="L107" s="12" t="s">
        <v>434</v>
      </c>
      <c r="M107" s="12"/>
      <c r="N107" s="11"/>
    </row>
    <row r="108" spans="1:14" ht="15.75" customHeight="1" x14ac:dyDescent="0.35">
      <c r="A108" s="7">
        <v>107</v>
      </c>
      <c r="B108" s="7" t="s">
        <v>165</v>
      </c>
      <c r="C108" s="9" t="str">
        <f>IFERROR(INDEX('Item Bank'!$D$2:$D$78,MATCH($B108,'Item Bank'!$A$2:$A$78,0)),"")</f>
        <v>What are the Erifo'o return wedding gifts in Kambaata culture?</v>
      </c>
      <c r="D108" s="9" t="str">
        <f>IFERROR(INDEX('Item Bank'!$B$2:$B$78,MATCH($B108,'Item Bank'!$A$2:$A$78,0)),"")</f>
        <v>Marriage Practices</v>
      </c>
      <c r="E108" s="7" t="s">
        <v>438</v>
      </c>
      <c r="F108" s="10">
        <v>46245</v>
      </c>
      <c r="G108" s="11" t="s">
        <v>550</v>
      </c>
      <c r="H108" s="12">
        <v>0</v>
      </c>
      <c r="I108" s="12" t="s">
        <v>444</v>
      </c>
      <c r="J108" s="12">
        <v>0</v>
      </c>
      <c r="K108" s="13"/>
      <c r="L108" s="12" t="s">
        <v>434</v>
      </c>
      <c r="M108" s="12"/>
      <c r="N108" s="11"/>
    </row>
    <row r="109" spans="1:14" ht="15.75" customHeight="1" x14ac:dyDescent="0.35">
      <c r="A109" s="7">
        <v>108</v>
      </c>
      <c r="B109" s="7" t="s">
        <v>165</v>
      </c>
      <c r="C109" s="9" t="str">
        <f>IFERROR(INDEX('Item Bank'!$D$2:$D$78,MATCH($B109,'Item Bank'!$A$2:$A$78,0)),"")</f>
        <v>What are the Erifo'o return wedding gifts in Kambaata culture?</v>
      </c>
      <c r="D109" s="9" t="str">
        <f>IFERROR(INDEX('Item Bank'!$B$2:$B$78,MATCH($B109,'Item Bank'!$A$2:$A$78,0)),"")</f>
        <v>Marriage Practices</v>
      </c>
      <c r="E109" s="7" t="s">
        <v>440</v>
      </c>
      <c r="F109" s="10">
        <v>46245</v>
      </c>
      <c r="G109" s="11" t="s">
        <v>551</v>
      </c>
      <c r="H109" s="12">
        <v>0</v>
      </c>
      <c r="I109" s="12" t="s">
        <v>444</v>
      </c>
      <c r="J109" s="12">
        <v>0</v>
      </c>
      <c r="K109" s="13"/>
      <c r="L109" s="12" t="s">
        <v>434</v>
      </c>
      <c r="M109" s="12"/>
      <c r="N109" s="11"/>
    </row>
    <row r="110" spans="1:14" ht="15.75" customHeight="1" x14ac:dyDescent="0.35">
      <c r="A110" s="7">
        <v>109</v>
      </c>
      <c r="B110" s="7" t="s">
        <v>170</v>
      </c>
      <c r="C110" s="9" t="str">
        <f>IFERROR(INDEX('Item Bank'!$D$2:$D$78,MATCH($B110,'Item Bank'!$A$2:$A$78,0)),"")</f>
        <v>What is the Minni-agisha in Kambaata marriage practices?</v>
      </c>
      <c r="D110" s="9" t="str">
        <f>IFERROR(INDEX('Item Bank'!$B$2:$B$78,MATCH($B110,'Item Bank'!$A$2:$A$78,0)),"")</f>
        <v>Marriage Practices</v>
      </c>
      <c r="E110" s="7" t="s">
        <v>431</v>
      </c>
      <c r="F110" s="10">
        <v>46244</v>
      </c>
      <c r="G110" s="11" t="s">
        <v>552</v>
      </c>
      <c r="H110" s="12">
        <v>0</v>
      </c>
      <c r="I110" s="12" t="s">
        <v>448</v>
      </c>
      <c r="J110" s="12">
        <v>0</v>
      </c>
      <c r="K110" s="13"/>
      <c r="L110" s="12" t="s">
        <v>434</v>
      </c>
      <c r="M110" s="12"/>
      <c r="N110" s="11"/>
    </row>
    <row r="111" spans="1:14" ht="15.75" customHeight="1" x14ac:dyDescent="0.35">
      <c r="A111" s="7">
        <v>110</v>
      </c>
      <c r="B111" s="7" t="s">
        <v>170</v>
      </c>
      <c r="C111" s="9" t="str">
        <f>IFERROR(INDEX('Item Bank'!$D$2:$D$78,MATCH($B111,'Item Bank'!$A$2:$A$78,0)),"")</f>
        <v>What is the Minni-agisha in Kambaata marriage practices?</v>
      </c>
      <c r="D111" s="9" t="str">
        <f>IFERROR(INDEX('Item Bank'!$B$2:$B$78,MATCH($B111,'Item Bank'!$A$2:$A$78,0)),"")</f>
        <v>Marriage Practices</v>
      </c>
      <c r="E111" s="7" t="s">
        <v>435</v>
      </c>
      <c r="F111" s="10">
        <v>46245</v>
      </c>
      <c r="G111" s="11" t="s">
        <v>553</v>
      </c>
      <c r="H111" s="12">
        <v>0</v>
      </c>
      <c r="I111" s="12" t="s">
        <v>448</v>
      </c>
      <c r="J111" s="12">
        <v>0</v>
      </c>
      <c r="K111" s="13"/>
      <c r="L111" s="12" t="s">
        <v>434</v>
      </c>
      <c r="M111" s="12"/>
      <c r="N111" s="11"/>
    </row>
    <row r="112" spans="1:14" ht="15.75" customHeight="1" x14ac:dyDescent="0.35">
      <c r="A112" s="7">
        <v>111</v>
      </c>
      <c r="B112" s="7" t="s">
        <v>170</v>
      </c>
      <c r="C112" s="9" t="str">
        <f>IFERROR(INDEX('Item Bank'!$D$2:$D$78,MATCH($B112,'Item Bank'!$A$2:$A$78,0)),"")</f>
        <v>What is the Minni-agisha in Kambaata marriage practices?</v>
      </c>
      <c r="D112" s="9" t="str">
        <f>IFERROR(INDEX('Item Bank'!$B$2:$B$78,MATCH($B112,'Item Bank'!$A$2:$A$78,0)),"")</f>
        <v>Marriage Practices</v>
      </c>
      <c r="E112" s="7" t="s">
        <v>438</v>
      </c>
      <c r="F112" s="10">
        <v>46245</v>
      </c>
      <c r="G112" s="11" t="s">
        <v>554</v>
      </c>
      <c r="H112" s="12">
        <v>0</v>
      </c>
      <c r="I112" s="12" t="s">
        <v>444</v>
      </c>
      <c r="J112" s="12">
        <v>0</v>
      </c>
      <c r="K112" s="13"/>
      <c r="L112" s="12" t="s">
        <v>434</v>
      </c>
      <c r="M112" s="12"/>
      <c r="N112" s="11"/>
    </row>
    <row r="113" spans="1:14" ht="15.75" customHeight="1" x14ac:dyDescent="0.35">
      <c r="A113" s="7">
        <v>112</v>
      </c>
      <c r="B113" s="7" t="s">
        <v>170</v>
      </c>
      <c r="C113" s="9" t="str">
        <f>IFERROR(INDEX('Item Bank'!$D$2:$D$78,MATCH($B113,'Item Bank'!$A$2:$A$78,0)),"")</f>
        <v>What is the Minni-agisha in Kambaata marriage practices?</v>
      </c>
      <c r="D113" s="9" t="str">
        <f>IFERROR(INDEX('Item Bank'!$B$2:$B$78,MATCH($B113,'Item Bank'!$A$2:$A$78,0)),"")</f>
        <v>Marriage Practices</v>
      </c>
      <c r="E113" s="7" t="s">
        <v>440</v>
      </c>
      <c r="F113" s="10">
        <v>46245</v>
      </c>
      <c r="G113" s="11" t="s">
        <v>555</v>
      </c>
      <c r="H113" s="12">
        <v>0</v>
      </c>
      <c r="I113" s="12" t="s">
        <v>444</v>
      </c>
      <c r="J113" s="12">
        <v>0</v>
      </c>
      <c r="K113" s="13"/>
      <c r="L113" s="12" t="s">
        <v>434</v>
      </c>
      <c r="M113" s="12"/>
      <c r="N113" s="11"/>
    </row>
    <row r="114" spans="1:14" ht="15.75" customHeight="1" x14ac:dyDescent="0.35">
      <c r="A114" s="7">
        <v>113</v>
      </c>
      <c r="B114" s="7" t="s">
        <v>174</v>
      </c>
      <c r="C114" s="9" t="str">
        <f>IFERROR(INDEX('Item Bank'!$D$2:$D$78,MATCH($B114,'Item Bank'!$A$2:$A$78,0)),"")</f>
        <v>What is the Wobeta (Wobesha) childbearing ceremony?</v>
      </c>
      <c r="D114" s="9" t="str">
        <f>IFERROR(INDEX('Item Bank'!$B$2:$B$78,MATCH($B114,'Item Bank'!$A$2:$A$78,0)),"")</f>
        <v>Childbearing Rites</v>
      </c>
      <c r="E114" s="7" t="s">
        <v>431</v>
      </c>
      <c r="F114" s="10">
        <v>46244</v>
      </c>
      <c r="G114" s="11" t="s">
        <v>556</v>
      </c>
      <c r="H114" s="12">
        <v>1</v>
      </c>
      <c r="I114" s="12" t="s">
        <v>442</v>
      </c>
      <c r="J114" s="12">
        <v>0</v>
      </c>
      <c r="K114" s="13"/>
      <c r="L114" s="12" t="s">
        <v>434</v>
      </c>
      <c r="M114" s="12"/>
      <c r="N114" s="11"/>
    </row>
    <row r="115" spans="1:14" ht="15.75" customHeight="1" x14ac:dyDescent="0.35">
      <c r="A115" s="7">
        <v>114</v>
      </c>
      <c r="B115" s="7" t="s">
        <v>174</v>
      </c>
      <c r="C115" s="9" t="str">
        <f>IFERROR(INDEX('Item Bank'!$D$2:$D$78,MATCH($B115,'Item Bank'!$A$2:$A$78,0)),"")</f>
        <v>What is the Wobeta (Wobesha) childbearing ceremony?</v>
      </c>
      <c r="D115" s="9" t="str">
        <f>IFERROR(INDEX('Item Bank'!$B$2:$B$78,MATCH($B115,'Item Bank'!$A$2:$A$78,0)),"")</f>
        <v>Childbearing Rites</v>
      </c>
      <c r="E115" s="7" t="s">
        <v>435</v>
      </c>
      <c r="F115" s="10">
        <v>46245</v>
      </c>
      <c r="G115" s="11" t="s">
        <v>557</v>
      </c>
      <c r="H115" s="12">
        <v>2</v>
      </c>
      <c r="I115" s="12" t="s">
        <v>442</v>
      </c>
      <c r="J115" s="12">
        <v>0</v>
      </c>
      <c r="K115" s="13"/>
      <c r="L115" s="12" t="s">
        <v>434</v>
      </c>
      <c r="M115" s="12"/>
      <c r="N115" s="11"/>
    </row>
    <row r="116" spans="1:14" ht="15.75" customHeight="1" x14ac:dyDescent="0.35">
      <c r="A116" s="7">
        <v>115</v>
      </c>
      <c r="B116" s="7" t="s">
        <v>174</v>
      </c>
      <c r="C116" s="9" t="str">
        <f>IFERROR(INDEX('Item Bank'!$D$2:$D$78,MATCH($B116,'Item Bank'!$A$2:$A$78,0)),"")</f>
        <v>What is the Wobeta (Wobesha) childbearing ceremony?</v>
      </c>
      <c r="D116" s="9" t="str">
        <f>IFERROR(INDEX('Item Bank'!$B$2:$B$78,MATCH($B116,'Item Bank'!$A$2:$A$78,0)),"")</f>
        <v>Childbearing Rites</v>
      </c>
      <c r="E116" s="7" t="s">
        <v>438</v>
      </c>
      <c r="F116" s="10">
        <v>46245</v>
      </c>
      <c r="G116" s="11" t="s">
        <v>558</v>
      </c>
      <c r="H116" s="12">
        <v>0</v>
      </c>
      <c r="I116" s="12" t="s">
        <v>444</v>
      </c>
      <c r="J116" s="12">
        <v>0</v>
      </c>
      <c r="K116" s="13"/>
      <c r="L116" s="12" t="s">
        <v>434</v>
      </c>
      <c r="M116" s="12"/>
      <c r="N116" s="11"/>
    </row>
    <row r="117" spans="1:14" ht="15.75" customHeight="1" x14ac:dyDescent="0.35">
      <c r="A117" s="7">
        <v>116</v>
      </c>
      <c r="B117" s="7" t="s">
        <v>174</v>
      </c>
      <c r="C117" s="9" t="str">
        <f>IFERROR(INDEX('Item Bank'!$D$2:$D$78,MATCH($B117,'Item Bank'!$A$2:$A$78,0)),"")</f>
        <v>What is the Wobeta (Wobesha) childbearing ceremony?</v>
      </c>
      <c r="D117" s="9" t="str">
        <f>IFERROR(INDEX('Item Bank'!$B$2:$B$78,MATCH($B117,'Item Bank'!$A$2:$A$78,0)),"")</f>
        <v>Childbearing Rites</v>
      </c>
      <c r="E117" s="7" t="s">
        <v>440</v>
      </c>
      <c r="F117" s="10">
        <v>46245</v>
      </c>
      <c r="G117" s="11" t="s">
        <v>559</v>
      </c>
      <c r="H117" s="12">
        <v>0</v>
      </c>
      <c r="I117" s="12" t="s">
        <v>444</v>
      </c>
      <c r="J117" s="12">
        <v>0</v>
      </c>
      <c r="K117" s="13"/>
      <c r="L117" s="12" t="s">
        <v>434</v>
      </c>
      <c r="M117" s="12"/>
      <c r="N117" s="11"/>
    </row>
    <row r="118" spans="1:14" ht="15.75" customHeight="1" x14ac:dyDescent="0.35">
      <c r="A118" s="7">
        <v>117</v>
      </c>
      <c r="B118" s="7" t="s">
        <v>180</v>
      </c>
      <c r="C118" s="9" t="str">
        <f>IFERROR(INDEX('Item Bank'!$D$2:$D$78,MATCH($B118,'Item Bank'!$A$2:$A$78,0)),"")</f>
        <v>What is the Jijiira in childbearing practices?</v>
      </c>
      <c r="D118" s="9" t="str">
        <f>IFERROR(INDEX('Item Bank'!$B$2:$B$78,MATCH($B118,'Item Bank'!$A$2:$A$78,0)),"")</f>
        <v>Childbearing Rites</v>
      </c>
      <c r="E118" s="7" t="s">
        <v>431</v>
      </c>
      <c r="F118" s="10">
        <v>46244</v>
      </c>
      <c r="G118" s="11" t="s">
        <v>560</v>
      </c>
      <c r="H118" s="12">
        <v>1</v>
      </c>
      <c r="I118" s="12" t="s">
        <v>442</v>
      </c>
      <c r="J118" s="12">
        <v>0</v>
      </c>
      <c r="K118" s="13"/>
      <c r="L118" s="12" t="s">
        <v>434</v>
      </c>
      <c r="M118" s="12"/>
      <c r="N118" s="11"/>
    </row>
    <row r="119" spans="1:14" ht="15.75" customHeight="1" x14ac:dyDescent="0.35">
      <c r="A119" s="7">
        <v>118</v>
      </c>
      <c r="B119" s="7" t="s">
        <v>180</v>
      </c>
      <c r="C119" s="9" t="str">
        <f>IFERROR(INDEX('Item Bank'!$D$2:$D$78,MATCH($B119,'Item Bank'!$A$2:$A$78,0)),"")</f>
        <v>What is the Jijiira in childbearing practices?</v>
      </c>
      <c r="D119" s="9" t="str">
        <f>IFERROR(INDEX('Item Bank'!$B$2:$B$78,MATCH($B119,'Item Bank'!$A$2:$A$78,0)),"")</f>
        <v>Childbearing Rites</v>
      </c>
      <c r="E119" s="7" t="s">
        <v>435</v>
      </c>
      <c r="F119" s="10">
        <v>46245</v>
      </c>
      <c r="G119" s="11" t="s">
        <v>561</v>
      </c>
      <c r="H119" s="12">
        <v>2</v>
      </c>
      <c r="I119" s="12" t="s">
        <v>442</v>
      </c>
      <c r="J119" s="12">
        <v>0</v>
      </c>
      <c r="K119" s="13"/>
      <c r="L119" s="12" t="s">
        <v>434</v>
      </c>
      <c r="M119" s="12"/>
      <c r="N119" s="11"/>
    </row>
    <row r="120" spans="1:14" ht="15.75" customHeight="1" x14ac:dyDescent="0.35">
      <c r="A120" s="7">
        <v>119</v>
      </c>
      <c r="B120" s="7" t="s">
        <v>180</v>
      </c>
      <c r="C120" s="9" t="str">
        <f>IFERROR(INDEX('Item Bank'!$D$2:$D$78,MATCH($B120,'Item Bank'!$A$2:$A$78,0)),"")</f>
        <v>What is the Jijiira in childbearing practices?</v>
      </c>
      <c r="D120" s="9" t="str">
        <f>IFERROR(INDEX('Item Bank'!$B$2:$B$78,MATCH($B120,'Item Bank'!$A$2:$A$78,0)),"")</f>
        <v>Childbearing Rites</v>
      </c>
      <c r="E120" s="7" t="s">
        <v>438</v>
      </c>
      <c r="F120" s="10">
        <v>46245</v>
      </c>
      <c r="G120" s="11" t="s">
        <v>562</v>
      </c>
      <c r="H120" s="12">
        <v>0</v>
      </c>
      <c r="I120" s="12" t="s">
        <v>444</v>
      </c>
      <c r="J120" s="12">
        <v>0</v>
      </c>
      <c r="K120" s="13"/>
      <c r="L120" s="12" t="s">
        <v>434</v>
      </c>
      <c r="M120" s="12"/>
      <c r="N120" s="11"/>
    </row>
    <row r="121" spans="1:14" ht="15.75" customHeight="1" x14ac:dyDescent="0.35">
      <c r="A121" s="7">
        <v>120</v>
      </c>
      <c r="B121" s="7" t="s">
        <v>180</v>
      </c>
      <c r="C121" s="9" t="str">
        <f>IFERROR(INDEX('Item Bank'!$D$2:$D$78,MATCH($B121,'Item Bank'!$A$2:$A$78,0)),"")</f>
        <v>What is the Jijiira in childbearing practices?</v>
      </c>
      <c r="D121" s="9" t="str">
        <f>IFERROR(INDEX('Item Bank'!$B$2:$B$78,MATCH($B121,'Item Bank'!$A$2:$A$78,0)),"")</f>
        <v>Childbearing Rites</v>
      </c>
      <c r="E121" s="7" t="s">
        <v>440</v>
      </c>
      <c r="F121" s="10">
        <v>46245</v>
      </c>
      <c r="G121" s="11" t="s">
        <v>563</v>
      </c>
      <c r="H121" s="12">
        <v>4</v>
      </c>
      <c r="I121" s="12" t="s">
        <v>444</v>
      </c>
      <c r="J121" s="12">
        <v>0</v>
      </c>
      <c r="K121" s="13"/>
      <c r="L121" s="12" t="s">
        <v>434</v>
      </c>
      <c r="M121" s="12"/>
      <c r="N121" s="11"/>
    </row>
    <row r="122" spans="1:14" ht="15.75" customHeight="1" x14ac:dyDescent="0.35">
      <c r="A122" s="7">
        <v>121</v>
      </c>
      <c r="B122" s="7" t="s">
        <v>185</v>
      </c>
      <c r="C122" s="9" t="str">
        <f>IFERROR(INDEX('Item Bank'!$D$2:$D$78,MATCH($B122,'Item Bank'!$A$2:$A$78,0)),"")</f>
        <v>Who is the Amma wotaa (Amma wosha) in childbearing history?</v>
      </c>
      <c r="D122" s="9" t="str">
        <f>IFERROR(INDEX('Item Bank'!$B$2:$B$78,MATCH($B122,'Item Bank'!$A$2:$A$78,0)),"")</f>
        <v>Childbearing Rites</v>
      </c>
      <c r="E122" s="7" t="s">
        <v>431</v>
      </c>
      <c r="F122" s="10">
        <v>46244</v>
      </c>
      <c r="G122" s="11" t="s">
        <v>564</v>
      </c>
      <c r="H122" s="12">
        <v>0</v>
      </c>
      <c r="I122" s="12" t="s">
        <v>448</v>
      </c>
      <c r="J122" s="12">
        <v>0</v>
      </c>
      <c r="K122" s="13"/>
      <c r="L122" s="12" t="s">
        <v>434</v>
      </c>
      <c r="M122" s="12"/>
      <c r="N122" s="11"/>
    </row>
    <row r="123" spans="1:14" ht="15.75" customHeight="1" x14ac:dyDescent="0.35">
      <c r="A123" s="7">
        <v>122</v>
      </c>
      <c r="B123" s="7" t="s">
        <v>185</v>
      </c>
      <c r="C123" s="9" t="str">
        <f>IFERROR(INDEX('Item Bank'!$D$2:$D$78,MATCH($B123,'Item Bank'!$A$2:$A$78,0)),"")</f>
        <v>Who is the Amma wotaa (Amma wosha) in childbearing history?</v>
      </c>
      <c r="D123" s="9" t="str">
        <f>IFERROR(INDEX('Item Bank'!$B$2:$B$78,MATCH($B123,'Item Bank'!$A$2:$A$78,0)),"")</f>
        <v>Childbearing Rites</v>
      </c>
      <c r="E123" s="7" t="s">
        <v>435</v>
      </c>
      <c r="F123" s="10">
        <v>46245</v>
      </c>
      <c r="G123" s="11" t="s">
        <v>565</v>
      </c>
      <c r="H123" s="12">
        <v>0</v>
      </c>
      <c r="I123" s="12" t="s">
        <v>448</v>
      </c>
      <c r="J123" s="12">
        <v>0</v>
      </c>
      <c r="K123" s="13"/>
      <c r="L123" s="12" t="s">
        <v>434</v>
      </c>
      <c r="M123" s="12"/>
      <c r="N123" s="11"/>
    </row>
    <row r="124" spans="1:14" ht="15.75" customHeight="1" x14ac:dyDescent="0.35">
      <c r="A124" s="7">
        <v>123</v>
      </c>
      <c r="B124" s="7" t="s">
        <v>185</v>
      </c>
      <c r="C124" s="9" t="str">
        <f>IFERROR(INDEX('Item Bank'!$D$2:$D$78,MATCH($B124,'Item Bank'!$A$2:$A$78,0)),"")</f>
        <v>Who is the Amma wotaa (Amma wosha) in childbearing history?</v>
      </c>
      <c r="D124" s="9" t="str">
        <f>IFERROR(INDEX('Item Bank'!$B$2:$B$78,MATCH($B124,'Item Bank'!$A$2:$A$78,0)),"")</f>
        <v>Childbearing Rites</v>
      </c>
      <c r="E124" s="7" t="s">
        <v>438</v>
      </c>
      <c r="F124" s="10">
        <v>46245</v>
      </c>
      <c r="G124" s="11" t="s">
        <v>566</v>
      </c>
      <c r="H124" s="12">
        <v>0</v>
      </c>
      <c r="I124" s="12" t="s">
        <v>444</v>
      </c>
      <c r="J124" s="12">
        <v>0</v>
      </c>
      <c r="K124" s="13"/>
      <c r="L124" s="12" t="s">
        <v>434</v>
      </c>
      <c r="M124" s="12"/>
      <c r="N124" s="11"/>
    </row>
    <row r="125" spans="1:14" ht="15.75" customHeight="1" x14ac:dyDescent="0.35">
      <c r="A125" s="7">
        <v>124</v>
      </c>
      <c r="B125" s="7" t="s">
        <v>185</v>
      </c>
      <c r="C125" s="9" t="str">
        <f>IFERROR(INDEX('Item Bank'!$D$2:$D$78,MATCH($B125,'Item Bank'!$A$2:$A$78,0)),"")</f>
        <v>Who is the Amma wotaa (Amma wosha) in childbearing history?</v>
      </c>
      <c r="D125" s="9" t="str">
        <f>IFERROR(INDEX('Item Bank'!$B$2:$B$78,MATCH($B125,'Item Bank'!$A$2:$A$78,0)),"")</f>
        <v>Childbearing Rites</v>
      </c>
      <c r="E125" s="7" t="s">
        <v>440</v>
      </c>
      <c r="F125" s="10">
        <v>46245</v>
      </c>
      <c r="G125" s="11" t="s">
        <v>567</v>
      </c>
      <c r="H125" s="12">
        <v>0</v>
      </c>
      <c r="I125" s="12" t="s">
        <v>444</v>
      </c>
      <c r="J125" s="12">
        <v>0</v>
      </c>
      <c r="K125" s="13"/>
      <c r="L125" s="12" t="s">
        <v>434</v>
      </c>
      <c r="M125" s="12"/>
      <c r="N125" s="11"/>
    </row>
    <row r="126" spans="1:14" ht="15.75" customHeight="1" x14ac:dyDescent="0.35">
      <c r="A126" s="7">
        <v>125</v>
      </c>
      <c r="B126" s="7" t="s">
        <v>190</v>
      </c>
      <c r="C126" s="9" t="str">
        <f>IFERROR(INDEX('Item Bank'!$D$2:$D$78,MATCH($B126,'Item Bank'!$A$2:$A$78,0)),"")</f>
        <v>Who are the Senga-Qoro in Kambaata regional administration?</v>
      </c>
      <c r="D126" s="9" t="str">
        <f>IFERROR(INDEX('Item Bank'!$B$2:$B$78,MATCH($B126,'Item Bank'!$A$2:$A$78,0)),"")</f>
        <v>Traditional Governance</v>
      </c>
      <c r="E126" s="7" t="s">
        <v>431</v>
      </c>
      <c r="F126" s="10">
        <v>46244</v>
      </c>
      <c r="G126" s="11" t="s">
        <v>568</v>
      </c>
      <c r="H126" s="12">
        <v>3</v>
      </c>
      <c r="I126" s="12" t="s">
        <v>444</v>
      </c>
      <c r="J126" s="12">
        <v>0</v>
      </c>
      <c r="K126" s="13"/>
      <c r="L126" s="12" t="s">
        <v>434</v>
      </c>
      <c r="M126" s="12"/>
      <c r="N126" s="11"/>
    </row>
    <row r="127" spans="1:14" ht="15.75" customHeight="1" x14ac:dyDescent="0.35">
      <c r="A127" s="7">
        <v>126</v>
      </c>
      <c r="B127" s="7" t="s">
        <v>190</v>
      </c>
      <c r="C127" s="9" t="str">
        <f>IFERROR(INDEX('Item Bank'!$D$2:$D$78,MATCH($B127,'Item Bank'!$A$2:$A$78,0)),"")</f>
        <v>Who are the Senga-Qoro in Kambaata regional administration?</v>
      </c>
      <c r="D127" s="9" t="str">
        <f>IFERROR(INDEX('Item Bank'!$B$2:$B$78,MATCH($B127,'Item Bank'!$A$2:$A$78,0)),"")</f>
        <v>Traditional Governance</v>
      </c>
      <c r="E127" s="7" t="s">
        <v>435</v>
      </c>
      <c r="F127" s="10">
        <v>46245</v>
      </c>
      <c r="G127" s="11" t="s">
        <v>569</v>
      </c>
      <c r="H127" s="12">
        <v>4</v>
      </c>
      <c r="I127" s="12" t="s">
        <v>444</v>
      </c>
      <c r="J127" s="12">
        <v>0</v>
      </c>
      <c r="K127" s="13"/>
      <c r="L127" s="12" t="s">
        <v>434</v>
      </c>
      <c r="M127" s="12"/>
      <c r="N127" s="11"/>
    </row>
    <row r="128" spans="1:14" ht="15.75" customHeight="1" x14ac:dyDescent="0.35">
      <c r="A128" s="7">
        <v>127</v>
      </c>
      <c r="B128" s="7" t="s">
        <v>190</v>
      </c>
      <c r="C128" s="9" t="str">
        <f>IFERROR(INDEX('Item Bank'!$D$2:$D$78,MATCH($B128,'Item Bank'!$A$2:$A$78,0)),"")</f>
        <v>Who are the Senga-Qoro in Kambaata regional administration?</v>
      </c>
      <c r="D128" s="9" t="str">
        <f>IFERROR(INDEX('Item Bank'!$B$2:$B$78,MATCH($B128,'Item Bank'!$A$2:$A$78,0)),"")</f>
        <v>Traditional Governance</v>
      </c>
      <c r="E128" s="7" t="s">
        <v>438</v>
      </c>
      <c r="F128" s="10">
        <v>46245</v>
      </c>
      <c r="G128" s="11" t="s">
        <v>570</v>
      </c>
      <c r="H128" s="12">
        <v>0</v>
      </c>
      <c r="I128" s="12" t="s">
        <v>444</v>
      </c>
      <c r="J128" s="12">
        <v>0</v>
      </c>
      <c r="K128" s="13"/>
      <c r="L128" s="12" t="s">
        <v>434</v>
      </c>
      <c r="M128" s="12"/>
      <c r="N128" s="11"/>
    </row>
    <row r="129" spans="1:14" ht="15.75" customHeight="1" x14ac:dyDescent="0.35">
      <c r="A129" s="7">
        <v>128</v>
      </c>
      <c r="B129" s="7" t="s">
        <v>190</v>
      </c>
      <c r="C129" s="9" t="str">
        <f>IFERROR(INDEX('Item Bank'!$D$2:$D$78,MATCH($B129,'Item Bank'!$A$2:$A$78,0)),"")</f>
        <v>Who are the Senga-Qoro in Kambaata regional administration?</v>
      </c>
      <c r="D129" s="9" t="str">
        <f>IFERROR(INDEX('Item Bank'!$B$2:$B$78,MATCH($B129,'Item Bank'!$A$2:$A$78,0)),"")</f>
        <v>Traditional Governance</v>
      </c>
      <c r="E129" s="7" t="s">
        <v>440</v>
      </c>
      <c r="F129" s="10">
        <v>46245</v>
      </c>
      <c r="G129" s="11" t="s">
        <v>571</v>
      </c>
      <c r="H129" s="12">
        <v>0</v>
      </c>
      <c r="I129" s="12" t="s">
        <v>444</v>
      </c>
      <c r="J129" s="12">
        <v>0</v>
      </c>
      <c r="K129" s="13"/>
      <c r="L129" s="12" t="s">
        <v>434</v>
      </c>
      <c r="M129" s="12"/>
      <c r="N129" s="11"/>
    </row>
    <row r="130" spans="1:14" ht="15.75" customHeight="1" x14ac:dyDescent="0.35">
      <c r="A130" s="7">
        <v>129</v>
      </c>
      <c r="B130" s="7" t="s">
        <v>195</v>
      </c>
      <c r="C130" s="9" t="str">
        <f>IFERROR(INDEX('Item Bank'!$D$2:$D$78,MATCH($B130,'Item Bank'!$A$2:$A$78,0)),"")</f>
        <v>Who is the Chiqa-Shum in traditional administration?</v>
      </c>
      <c r="D130" s="9" t="str">
        <f>IFERROR(INDEX('Item Bank'!$B$2:$B$78,MATCH($B130,'Item Bank'!$A$2:$A$78,0)),"")</f>
        <v>Traditional Governance</v>
      </c>
      <c r="E130" s="7" t="s">
        <v>431</v>
      </c>
      <c r="F130" s="10">
        <v>46244</v>
      </c>
      <c r="G130" s="11" t="s">
        <v>572</v>
      </c>
      <c r="H130" s="12">
        <v>2</v>
      </c>
      <c r="I130" s="12" t="s">
        <v>444</v>
      </c>
      <c r="J130" s="12">
        <v>0</v>
      </c>
      <c r="K130" s="13"/>
      <c r="L130" s="12" t="s">
        <v>434</v>
      </c>
      <c r="M130" s="12"/>
      <c r="N130" s="11"/>
    </row>
    <row r="131" spans="1:14" ht="15.75" customHeight="1" x14ac:dyDescent="0.35">
      <c r="A131" s="7">
        <v>130</v>
      </c>
      <c r="B131" s="7" t="s">
        <v>195</v>
      </c>
      <c r="C131" s="9" t="str">
        <f>IFERROR(INDEX('Item Bank'!$D$2:$D$78,MATCH($B131,'Item Bank'!$A$2:$A$78,0)),"")</f>
        <v>Who is the Chiqa-Shum in traditional administration?</v>
      </c>
      <c r="D131" s="9" t="str">
        <f>IFERROR(INDEX('Item Bank'!$B$2:$B$78,MATCH($B131,'Item Bank'!$A$2:$A$78,0)),"")</f>
        <v>Traditional Governance</v>
      </c>
      <c r="E131" s="7" t="s">
        <v>435</v>
      </c>
      <c r="F131" s="10">
        <v>46245</v>
      </c>
      <c r="G131" s="11" t="s">
        <v>573</v>
      </c>
      <c r="H131" s="12">
        <v>4</v>
      </c>
      <c r="I131" s="12" t="s">
        <v>444</v>
      </c>
      <c r="J131" s="12">
        <v>0</v>
      </c>
      <c r="K131" s="13"/>
      <c r="L131" s="12" t="s">
        <v>434</v>
      </c>
      <c r="M131" s="12"/>
      <c r="N131" s="11"/>
    </row>
    <row r="132" spans="1:14" ht="15.75" customHeight="1" x14ac:dyDescent="0.35">
      <c r="A132" s="7">
        <v>131</v>
      </c>
      <c r="B132" s="7" t="s">
        <v>195</v>
      </c>
      <c r="C132" s="9" t="str">
        <f>IFERROR(INDEX('Item Bank'!$D$2:$D$78,MATCH($B132,'Item Bank'!$A$2:$A$78,0)),"")</f>
        <v>Who is the Chiqa-Shum in traditional administration?</v>
      </c>
      <c r="D132" s="9" t="str">
        <f>IFERROR(INDEX('Item Bank'!$B$2:$B$78,MATCH($B132,'Item Bank'!$A$2:$A$78,0)),"")</f>
        <v>Traditional Governance</v>
      </c>
      <c r="E132" s="7" t="s">
        <v>438</v>
      </c>
      <c r="F132" s="10">
        <v>46245</v>
      </c>
      <c r="G132" s="11" t="s">
        <v>574</v>
      </c>
      <c r="H132" s="12">
        <v>4</v>
      </c>
      <c r="I132" s="12" t="s">
        <v>444</v>
      </c>
      <c r="J132" s="12">
        <v>0</v>
      </c>
      <c r="K132" s="13"/>
      <c r="L132" s="12" t="s">
        <v>434</v>
      </c>
      <c r="M132" s="12"/>
      <c r="N132" s="11"/>
    </row>
    <row r="133" spans="1:14" ht="15.75" customHeight="1" x14ac:dyDescent="0.35">
      <c r="A133" s="7">
        <v>132</v>
      </c>
      <c r="B133" s="7" t="s">
        <v>195</v>
      </c>
      <c r="C133" s="9" t="str">
        <f>IFERROR(INDEX('Item Bank'!$D$2:$D$78,MATCH($B133,'Item Bank'!$A$2:$A$78,0)),"")</f>
        <v>Who is the Chiqa-Shum in traditional administration?</v>
      </c>
      <c r="D133" s="9" t="str">
        <f>IFERROR(INDEX('Item Bank'!$B$2:$B$78,MATCH($B133,'Item Bank'!$A$2:$A$78,0)),"")</f>
        <v>Traditional Governance</v>
      </c>
      <c r="E133" s="7" t="s">
        <v>440</v>
      </c>
      <c r="F133" s="10">
        <v>46245</v>
      </c>
      <c r="G133" s="11" t="s">
        <v>575</v>
      </c>
      <c r="H133" s="12">
        <v>4</v>
      </c>
      <c r="I133" s="12" t="s">
        <v>444</v>
      </c>
      <c r="J133" s="12">
        <v>0</v>
      </c>
      <c r="K133" s="13"/>
      <c r="L133" s="12" t="s">
        <v>434</v>
      </c>
      <c r="M133" s="12"/>
      <c r="N133" s="11"/>
    </row>
    <row r="134" spans="1:14" ht="15.75" customHeight="1" x14ac:dyDescent="0.35">
      <c r="A134" s="7">
        <v>133</v>
      </c>
      <c r="B134" s="7" t="s">
        <v>200</v>
      </c>
      <c r="C134" s="9" t="str">
        <f>IFERROR(INDEX('Item Bank'!$D$2:$D$78,MATCH($B134,'Item Bank'!$A$2:$A$78,0)),"")</f>
        <v>What are the Seju Gochu administrative subdivisions?</v>
      </c>
      <c r="D134" s="9" t="str">
        <f>IFERROR(INDEX('Item Bank'!$B$2:$B$78,MATCH($B134,'Item Bank'!$A$2:$A$78,0)),"")</f>
        <v>Traditional Governance</v>
      </c>
      <c r="E134" s="7" t="s">
        <v>431</v>
      </c>
      <c r="F134" s="10">
        <v>46244</v>
      </c>
      <c r="G134" s="11" t="s">
        <v>576</v>
      </c>
      <c r="H134" s="12">
        <v>2</v>
      </c>
      <c r="I134" s="12" t="s">
        <v>444</v>
      </c>
      <c r="J134" s="12">
        <v>0</v>
      </c>
      <c r="K134" s="13"/>
      <c r="L134" s="12" t="s">
        <v>434</v>
      </c>
      <c r="M134" s="12"/>
      <c r="N134" s="11"/>
    </row>
    <row r="135" spans="1:14" ht="15.75" customHeight="1" x14ac:dyDescent="0.35">
      <c r="A135" s="7">
        <v>134</v>
      </c>
      <c r="B135" s="7" t="s">
        <v>200</v>
      </c>
      <c r="C135" s="9" t="str">
        <f>IFERROR(INDEX('Item Bank'!$D$2:$D$78,MATCH($B135,'Item Bank'!$A$2:$A$78,0)),"")</f>
        <v>What are the Seju Gochu administrative subdivisions?</v>
      </c>
      <c r="D135" s="9" t="str">
        <f>IFERROR(INDEX('Item Bank'!$B$2:$B$78,MATCH($B135,'Item Bank'!$A$2:$A$78,0)),"")</f>
        <v>Traditional Governance</v>
      </c>
      <c r="E135" s="7" t="s">
        <v>435</v>
      </c>
      <c r="F135" s="10">
        <v>46245</v>
      </c>
      <c r="G135" s="11" t="s">
        <v>577</v>
      </c>
      <c r="H135" s="12">
        <v>4</v>
      </c>
      <c r="I135" s="12" t="s">
        <v>442</v>
      </c>
      <c r="J135" s="12">
        <v>0</v>
      </c>
      <c r="K135" s="13"/>
      <c r="L135" s="12" t="s">
        <v>434</v>
      </c>
      <c r="M135" s="12"/>
      <c r="N135" s="11"/>
    </row>
    <row r="136" spans="1:14" ht="15.75" customHeight="1" x14ac:dyDescent="0.35">
      <c r="A136" s="7">
        <v>135</v>
      </c>
      <c r="B136" s="7" t="s">
        <v>200</v>
      </c>
      <c r="C136" s="9" t="str">
        <f>IFERROR(INDEX('Item Bank'!$D$2:$D$78,MATCH($B136,'Item Bank'!$A$2:$A$78,0)),"")</f>
        <v>What are the Seju Gochu administrative subdivisions?</v>
      </c>
      <c r="D136" s="9" t="str">
        <f>IFERROR(INDEX('Item Bank'!$B$2:$B$78,MATCH($B136,'Item Bank'!$A$2:$A$78,0)),"")</f>
        <v>Traditional Governance</v>
      </c>
      <c r="E136" s="7" t="s">
        <v>438</v>
      </c>
      <c r="F136" s="10">
        <v>46245</v>
      </c>
      <c r="G136" s="11" t="s">
        <v>578</v>
      </c>
      <c r="H136" s="12">
        <v>0</v>
      </c>
      <c r="I136" s="12" t="s">
        <v>444</v>
      </c>
      <c r="J136" s="12">
        <v>0</v>
      </c>
      <c r="K136" s="13"/>
      <c r="L136" s="12" t="s">
        <v>434</v>
      </c>
      <c r="M136" s="12"/>
      <c r="N136" s="11"/>
    </row>
    <row r="137" spans="1:14" ht="15.75" customHeight="1" x14ac:dyDescent="0.35">
      <c r="A137" s="7">
        <v>136</v>
      </c>
      <c r="B137" s="7" t="s">
        <v>200</v>
      </c>
      <c r="C137" s="9" t="str">
        <f>IFERROR(INDEX('Item Bank'!$D$2:$D$78,MATCH($B137,'Item Bank'!$A$2:$A$78,0)),"")</f>
        <v>What are the Seju Gochu administrative subdivisions?</v>
      </c>
      <c r="D137" s="9" t="str">
        <f>IFERROR(INDEX('Item Bank'!$B$2:$B$78,MATCH($B137,'Item Bank'!$A$2:$A$78,0)),"")</f>
        <v>Traditional Governance</v>
      </c>
      <c r="E137" s="7" t="s">
        <v>440</v>
      </c>
      <c r="F137" s="10">
        <v>46245</v>
      </c>
      <c r="G137" s="11" t="s">
        <v>579</v>
      </c>
      <c r="H137" s="12">
        <v>0</v>
      </c>
      <c r="I137" s="12" t="s">
        <v>444</v>
      </c>
      <c r="J137" s="12">
        <v>0</v>
      </c>
      <c r="K137" s="13"/>
      <c r="L137" s="12" t="s">
        <v>434</v>
      </c>
      <c r="M137" s="12"/>
      <c r="N137" s="11"/>
    </row>
    <row r="138" spans="1:14" ht="15.75" customHeight="1" x14ac:dyDescent="0.35">
      <c r="A138" s="7">
        <v>137</v>
      </c>
      <c r="B138" s="7" t="s">
        <v>205</v>
      </c>
      <c r="C138" s="9" t="str">
        <f>IFERROR(INDEX('Item Bank'!$D$2:$D$78,MATCH($B138,'Item Bank'!$A$2:$A$78,0)),"")</f>
        <v>What is the Ballishsha name taboo among Kambaata women?</v>
      </c>
      <c r="D138" s="9" t="str">
        <f>IFERROR(INDEX('Item Bank'!$B$2:$B$78,MATCH($B138,'Item Bank'!$A$2:$A$78,0)),"")</f>
        <v>Linguistic Customs</v>
      </c>
      <c r="E138" s="7" t="s">
        <v>431</v>
      </c>
      <c r="F138" s="10">
        <v>46244</v>
      </c>
      <c r="G138" s="11" t="s">
        <v>580</v>
      </c>
      <c r="H138" s="12">
        <v>4</v>
      </c>
      <c r="I138" s="12" t="s">
        <v>444</v>
      </c>
      <c r="J138" s="12">
        <v>0</v>
      </c>
      <c r="K138" s="13"/>
      <c r="L138" s="12" t="s">
        <v>434</v>
      </c>
      <c r="M138" s="12"/>
      <c r="N138" s="11"/>
    </row>
    <row r="139" spans="1:14" ht="15.75" customHeight="1" x14ac:dyDescent="0.35">
      <c r="A139" s="7">
        <v>138</v>
      </c>
      <c r="B139" s="7" t="s">
        <v>205</v>
      </c>
      <c r="C139" s="9" t="str">
        <f>IFERROR(INDEX('Item Bank'!$D$2:$D$78,MATCH($B139,'Item Bank'!$A$2:$A$78,0)),"")</f>
        <v>What is the Ballishsha name taboo among Kambaata women?</v>
      </c>
      <c r="D139" s="9" t="str">
        <f>IFERROR(INDEX('Item Bank'!$B$2:$B$78,MATCH($B139,'Item Bank'!$A$2:$A$78,0)),"")</f>
        <v>Linguistic Customs</v>
      </c>
      <c r="E139" s="7" t="s">
        <v>435</v>
      </c>
      <c r="F139" s="10">
        <v>46245</v>
      </c>
      <c r="G139" s="11" t="s">
        <v>581</v>
      </c>
      <c r="H139" s="12">
        <v>4</v>
      </c>
      <c r="I139" s="12" t="s">
        <v>444</v>
      </c>
      <c r="J139" s="12">
        <v>0</v>
      </c>
      <c r="K139" s="13"/>
      <c r="L139" s="12" t="s">
        <v>434</v>
      </c>
      <c r="M139" s="12"/>
      <c r="N139" s="11"/>
    </row>
    <row r="140" spans="1:14" ht="15.75" customHeight="1" x14ac:dyDescent="0.35">
      <c r="A140" s="7">
        <v>139</v>
      </c>
      <c r="B140" s="7" t="s">
        <v>205</v>
      </c>
      <c r="C140" s="9" t="str">
        <f>IFERROR(INDEX('Item Bank'!$D$2:$D$78,MATCH($B140,'Item Bank'!$A$2:$A$78,0)),"")</f>
        <v>What is the Ballishsha name taboo among Kambaata women?</v>
      </c>
      <c r="D140" s="9" t="str">
        <f>IFERROR(INDEX('Item Bank'!$B$2:$B$78,MATCH($B140,'Item Bank'!$A$2:$A$78,0)),"")</f>
        <v>Linguistic Customs</v>
      </c>
      <c r="E140" s="7" t="s">
        <v>438</v>
      </c>
      <c r="F140" s="10">
        <v>46245</v>
      </c>
      <c r="G140" s="11" t="s">
        <v>582</v>
      </c>
      <c r="H140" s="12">
        <v>4</v>
      </c>
      <c r="I140" s="12" t="s">
        <v>442</v>
      </c>
      <c r="J140" s="12">
        <v>0</v>
      </c>
      <c r="K140" s="13"/>
      <c r="L140" s="12" t="s">
        <v>434</v>
      </c>
      <c r="M140" s="12"/>
      <c r="N140" s="11"/>
    </row>
    <row r="141" spans="1:14" ht="15.75" customHeight="1" x14ac:dyDescent="0.35">
      <c r="A141" s="7">
        <v>140</v>
      </c>
      <c r="B141" s="7" t="s">
        <v>205</v>
      </c>
      <c r="C141" s="9" t="str">
        <f>IFERROR(INDEX('Item Bank'!$D$2:$D$78,MATCH($B141,'Item Bank'!$A$2:$A$78,0)),"")</f>
        <v>What is the Ballishsha name taboo among Kambaata women?</v>
      </c>
      <c r="D141" s="9" t="str">
        <f>IFERROR(INDEX('Item Bank'!$B$2:$B$78,MATCH($B141,'Item Bank'!$A$2:$A$78,0)),"")</f>
        <v>Linguistic Customs</v>
      </c>
      <c r="E141" s="7" t="s">
        <v>440</v>
      </c>
      <c r="F141" s="10">
        <v>46245</v>
      </c>
      <c r="G141" s="11" t="s">
        <v>583</v>
      </c>
      <c r="H141" s="12">
        <v>4</v>
      </c>
      <c r="I141" s="12" t="s">
        <v>444</v>
      </c>
      <c r="J141" s="12">
        <v>0</v>
      </c>
      <c r="K141" s="13"/>
      <c r="L141" s="12" t="s">
        <v>434</v>
      </c>
      <c r="M141" s="12"/>
      <c r="N141" s="11"/>
    </row>
    <row r="142" spans="1:14" ht="15.75" customHeight="1" x14ac:dyDescent="0.35">
      <c r="A142" s="7">
        <v>141</v>
      </c>
      <c r="B142" s="7" t="s">
        <v>212</v>
      </c>
      <c r="C142" s="9" t="str">
        <f>IFERROR(INDEX('Item Bank'!$D$2:$D$78,MATCH($B142,'Item Bank'!$A$2:$A$78,0)),"")</f>
        <v>What is the Gaxa in a traditional Kambaata house?</v>
      </c>
      <c r="D142" s="9" t="str">
        <f>IFERROR(INDEX('Item Bank'!$B$2:$B$78,MATCH($B142,'Item Bank'!$A$2:$A$78,0)),"")</f>
        <v>Domestic Architecture</v>
      </c>
      <c r="E142" s="7" t="s">
        <v>431</v>
      </c>
      <c r="F142" s="10">
        <v>46244</v>
      </c>
      <c r="G142" s="11" t="s">
        <v>584</v>
      </c>
      <c r="H142" s="12">
        <v>0</v>
      </c>
      <c r="I142" s="12" t="s">
        <v>448</v>
      </c>
      <c r="J142" s="12">
        <v>0</v>
      </c>
      <c r="K142" s="13"/>
      <c r="L142" s="12" t="s">
        <v>434</v>
      </c>
      <c r="M142" s="12"/>
      <c r="N142" s="11"/>
    </row>
    <row r="143" spans="1:14" ht="15.75" customHeight="1" x14ac:dyDescent="0.35">
      <c r="A143" s="7">
        <v>142</v>
      </c>
      <c r="B143" s="7" t="s">
        <v>212</v>
      </c>
      <c r="C143" s="9" t="str">
        <f>IFERROR(INDEX('Item Bank'!$D$2:$D$78,MATCH($B143,'Item Bank'!$A$2:$A$78,0)),"")</f>
        <v>What is the Gaxa in a traditional Kambaata house?</v>
      </c>
      <c r="D143" s="9" t="str">
        <f>IFERROR(INDEX('Item Bank'!$B$2:$B$78,MATCH($B143,'Item Bank'!$A$2:$A$78,0)),"")</f>
        <v>Domestic Architecture</v>
      </c>
      <c r="E143" s="7" t="s">
        <v>435</v>
      </c>
      <c r="F143" s="10">
        <v>46245</v>
      </c>
      <c r="G143" s="11" t="s">
        <v>585</v>
      </c>
      <c r="H143" s="12">
        <v>4</v>
      </c>
      <c r="I143" s="12" t="s">
        <v>444</v>
      </c>
      <c r="J143" s="12">
        <v>0</v>
      </c>
      <c r="K143" s="13"/>
      <c r="L143" s="12" t="s">
        <v>434</v>
      </c>
      <c r="M143" s="12"/>
      <c r="N143" s="11"/>
    </row>
    <row r="144" spans="1:14" ht="15.75" customHeight="1" x14ac:dyDescent="0.35">
      <c r="A144" s="7">
        <v>143</v>
      </c>
      <c r="B144" s="7" t="s">
        <v>212</v>
      </c>
      <c r="C144" s="9" t="str">
        <f>IFERROR(INDEX('Item Bank'!$D$2:$D$78,MATCH($B144,'Item Bank'!$A$2:$A$78,0)),"")</f>
        <v>What is the Gaxa in a traditional Kambaata house?</v>
      </c>
      <c r="D144" s="9" t="str">
        <f>IFERROR(INDEX('Item Bank'!$B$2:$B$78,MATCH($B144,'Item Bank'!$A$2:$A$78,0)),"")</f>
        <v>Domestic Architecture</v>
      </c>
      <c r="E144" s="7" t="s">
        <v>438</v>
      </c>
      <c r="F144" s="10">
        <v>46245</v>
      </c>
      <c r="G144" s="11" t="s">
        <v>586</v>
      </c>
      <c r="H144" s="12">
        <v>0</v>
      </c>
      <c r="I144" s="12" t="s">
        <v>444</v>
      </c>
      <c r="J144" s="12">
        <v>0</v>
      </c>
      <c r="K144" s="13"/>
      <c r="L144" s="12" t="s">
        <v>434</v>
      </c>
      <c r="M144" s="12"/>
      <c r="N144" s="11"/>
    </row>
    <row r="145" spans="1:14" ht="15.75" customHeight="1" x14ac:dyDescent="0.35">
      <c r="A145" s="7">
        <v>144</v>
      </c>
      <c r="B145" s="7" t="s">
        <v>212</v>
      </c>
      <c r="C145" s="9" t="str">
        <f>IFERROR(INDEX('Item Bank'!$D$2:$D$78,MATCH($B145,'Item Bank'!$A$2:$A$78,0)),"")</f>
        <v>What is the Gaxa in a traditional Kambaata house?</v>
      </c>
      <c r="D145" s="9" t="str">
        <f>IFERROR(INDEX('Item Bank'!$B$2:$B$78,MATCH($B145,'Item Bank'!$A$2:$A$78,0)),"")</f>
        <v>Domestic Architecture</v>
      </c>
      <c r="E145" s="7" t="s">
        <v>440</v>
      </c>
      <c r="F145" s="10">
        <v>46245</v>
      </c>
      <c r="G145" s="11" t="s">
        <v>587</v>
      </c>
      <c r="H145" s="12">
        <v>0</v>
      </c>
      <c r="I145" s="12" t="s">
        <v>444</v>
      </c>
      <c r="J145" s="12">
        <v>0</v>
      </c>
      <c r="K145" s="13"/>
      <c r="L145" s="12" t="s">
        <v>434</v>
      </c>
      <c r="M145" s="12"/>
      <c r="N145" s="11"/>
    </row>
    <row r="146" spans="1:14" ht="15.75" customHeight="1" x14ac:dyDescent="0.35">
      <c r="A146" s="7">
        <v>145</v>
      </c>
      <c r="B146" s="7" t="s">
        <v>218</v>
      </c>
      <c r="C146" s="9" t="str">
        <f>IFERROR(INDEX('Item Bank'!$D$2:$D$78,MATCH($B146,'Item Bank'!$A$2:$A$78,0)),"")</f>
        <v>What is the Duma in Kambaata housing?</v>
      </c>
      <c r="D146" s="9" t="str">
        <f>IFERROR(INDEX('Item Bank'!$B$2:$B$78,MATCH($B146,'Item Bank'!$A$2:$A$78,0)),"")</f>
        <v>Domestic Architecture</v>
      </c>
      <c r="E146" s="7" t="s">
        <v>431</v>
      </c>
      <c r="F146" s="10">
        <v>46244</v>
      </c>
      <c r="G146" s="11" t="s">
        <v>588</v>
      </c>
      <c r="H146" s="12">
        <v>1</v>
      </c>
      <c r="I146" s="12" t="s">
        <v>442</v>
      </c>
      <c r="J146" s="12">
        <v>0</v>
      </c>
      <c r="K146" s="13"/>
      <c r="L146" s="12" t="s">
        <v>434</v>
      </c>
      <c r="M146" s="12"/>
      <c r="N146" s="11"/>
    </row>
    <row r="147" spans="1:14" ht="15.75" customHeight="1" x14ac:dyDescent="0.35">
      <c r="A147" s="7">
        <v>146</v>
      </c>
      <c r="B147" s="7" t="s">
        <v>218</v>
      </c>
      <c r="C147" s="9" t="str">
        <f>IFERROR(INDEX('Item Bank'!$D$2:$D$78,MATCH($B147,'Item Bank'!$A$2:$A$78,0)),"")</f>
        <v>What is the Duma in Kambaata housing?</v>
      </c>
      <c r="D147" s="9" t="str">
        <f>IFERROR(INDEX('Item Bank'!$B$2:$B$78,MATCH($B147,'Item Bank'!$A$2:$A$78,0)),"")</f>
        <v>Domestic Architecture</v>
      </c>
      <c r="E147" s="7" t="s">
        <v>435</v>
      </c>
      <c r="F147" s="10">
        <v>46245</v>
      </c>
      <c r="G147" s="11" t="s">
        <v>589</v>
      </c>
      <c r="H147" s="12">
        <v>1</v>
      </c>
      <c r="I147" s="12" t="s">
        <v>448</v>
      </c>
      <c r="J147" s="12">
        <v>0</v>
      </c>
      <c r="K147" s="13"/>
      <c r="L147" s="12" t="s">
        <v>434</v>
      </c>
      <c r="M147" s="12"/>
      <c r="N147" s="11"/>
    </row>
    <row r="148" spans="1:14" ht="15.75" customHeight="1" x14ac:dyDescent="0.35">
      <c r="A148" s="7">
        <v>147</v>
      </c>
      <c r="B148" s="7" t="s">
        <v>218</v>
      </c>
      <c r="C148" s="9" t="str">
        <f>IFERROR(INDEX('Item Bank'!$D$2:$D$78,MATCH($B148,'Item Bank'!$A$2:$A$78,0)),"")</f>
        <v>What is the Duma in Kambaata housing?</v>
      </c>
      <c r="D148" s="9" t="str">
        <f>IFERROR(INDEX('Item Bank'!$B$2:$B$78,MATCH($B148,'Item Bank'!$A$2:$A$78,0)),"")</f>
        <v>Domestic Architecture</v>
      </c>
      <c r="E148" s="7" t="s">
        <v>438</v>
      </c>
      <c r="F148" s="10">
        <v>46245</v>
      </c>
      <c r="G148" s="11" t="s">
        <v>590</v>
      </c>
      <c r="H148" s="12">
        <v>0</v>
      </c>
      <c r="I148" s="12" t="s">
        <v>444</v>
      </c>
      <c r="J148" s="12">
        <v>0</v>
      </c>
      <c r="K148" s="13"/>
      <c r="L148" s="12" t="s">
        <v>434</v>
      </c>
      <c r="M148" s="12"/>
      <c r="N148" s="11"/>
    </row>
    <row r="149" spans="1:14" ht="15.75" customHeight="1" x14ac:dyDescent="0.35">
      <c r="A149" s="7">
        <v>148</v>
      </c>
      <c r="B149" s="7" t="s">
        <v>218</v>
      </c>
      <c r="C149" s="9" t="str">
        <f>IFERROR(INDEX('Item Bank'!$D$2:$D$78,MATCH($B149,'Item Bank'!$A$2:$A$78,0)),"")</f>
        <v>What is the Duma in Kambaata housing?</v>
      </c>
      <c r="D149" s="9" t="str">
        <f>IFERROR(INDEX('Item Bank'!$B$2:$B$78,MATCH($B149,'Item Bank'!$A$2:$A$78,0)),"")</f>
        <v>Domestic Architecture</v>
      </c>
      <c r="E149" s="7" t="s">
        <v>440</v>
      </c>
      <c r="F149" s="10">
        <v>46245</v>
      </c>
      <c r="G149" s="11" t="s">
        <v>591</v>
      </c>
      <c r="H149" s="12">
        <v>0</v>
      </c>
      <c r="I149" s="12" t="s">
        <v>444</v>
      </c>
      <c r="J149" s="12">
        <v>0</v>
      </c>
      <c r="K149" s="13"/>
      <c r="L149" s="12" t="s">
        <v>434</v>
      </c>
      <c r="M149" s="12"/>
      <c r="N149" s="11"/>
    </row>
    <row r="150" spans="1:14" ht="15.75" customHeight="1" x14ac:dyDescent="0.35">
      <c r="A150" s="7">
        <v>149</v>
      </c>
      <c r="B150" s="7" t="s">
        <v>222</v>
      </c>
      <c r="C150" s="9" t="str">
        <f>IFERROR(INDEX('Item Bank'!$D$2:$D$78,MATCH($B150,'Item Bank'!$A$2:$A$78,0)),"")</f>
        <v>What is the Qo'llu in a Kambaata round house?</v>
      </c>
      <c r="D150" s="9" t="str">
        <f>IFERROR(INDEX('Item Bank'!$B$2:$B$78,MATCH($B150,'Item Bank'!$A$2:$A$78,0)),"")</f>
        <v>Domestic Architecture</v>
      </c>
      <c r="E150" s="7" t="s">
        <v>431</v>
      </c>
      <c r="F150" s="10">
        <v>46244</v>
      </c>
      <c r="G150" s="11" t="s">
        <v>592</v>
      </c>
      <c r="H150" s="12">
        <v>0</v>
      </c>
      <c r="I150" s="12" t="s">
        <v>448</v>
      </c>
      <c r="J150" s="12">
        <v>0</v>
      </c>
      <c r="K150" s="13"/>
      <c r="L150" s="12" t="s">
        <v>434</v>
      </c>
      <c r="M150" s="12"/>
      <c r="N150" s="11"/>
    </row>
    <row r="151" spans="1:14" ht="15.75" customHeight="1" x14ac:dyDescent="0.35">
      <c r="A151" s="7">
        <v>150</v>
      </c>
      <c r="B151" s="7" t="s">
        <v>222</v>
      </c>
      <c r="C151" s="9" t="str">
        <f>IFERROR(INDEX('Item Bank'!$D$2:$D$78,MATCH($B151,'Item Bank'!$A$2:$A$78,0)),"")</f>
        <v>What is the Qo'llu in a Kambaata round house?</v>
      </c>
      <c r="D151" s="9" t="str">
        <f>IFERROR(INDEX('Item Bank'!$B$2:$B$78,MATCH($B151,'Item Bank'!$A$2:$A$78,0)),"")</f>
        <v>Domestic Architecture</v>
      </c>
      <c r="E151" s="7" t="s">
        <v>435</v>
      </c>
      <c r="F151" s="10">
        <v>46245</v>
      </c>
      <c r="G151" s="11" t="s">
        <v>593</v>
      </c>
      <c r="H151" s="12">
        <v>0</v>
      </c>
      <c r="I151" s="12" t="s">
        <v>448</v>
      </c>
      <c r="J151" s="12">
        <v>0</v>
      </c>
      <c r="K151" s="13"/>
      <c r="L151" s="12" t="s">
        <v>434</v>
      </c>
      <c r="M151" s="12"/>
      <c r="N151" s="11"/>
    </row>
    <row r="152" spans="1:14" ht="15.75" customHeight="1" x14ac:dyDescent="0.35">
      <c r="A152" s="7">
        <v>151</v>
      </c>
      <c r="B152" s="7" t="s">
        <v>222</v>
      </c>
      <c r="C152" s="9" t="str">
        <f>IFERROR(INDEX('Item Bank'!$D$2:$D$78,MATCH($B152,'Item Bank'!$A$2:$A$78,0)),"")</f>
        <v>What is the Qo'llu in a Kambaata round house?</v>
      </c>
      <c r="D152" s="9" t="str">
        <f>IFERROR(INDEX('Item Bank'!$B$2:$B$78,MATCH($B152,'Item Bank'!$A$2:$A$78,0)),"")</f>
        <v>Domestic Architecture</v>
      </c>
      <c r="E152" s="7" t="s">
        <v>438</v>
      </c>
      <c r="F152" s="10">
        <v>46245</v>
      </c>
      <c r="G152" s="11" t="s">
        <v>594</v>
      </c>
      <c r="H152" s="12">
        <v>0</v>
      </c>
      <c r="I152" s="12" t="s">
        <v>444</v>
      </c>
      <c r="J152" s="12">
        <v>0</v>
      </c>
      <c r="K152" s="13"/>
      <c r="L152" s="12" t="s">
        <v>434</v>
      </c>
      <c r="M152" s="12"/>
      <c r="N152" s="11"/>
    </row>
    <row r="153" spans="1:14" ht="15.75" customHeight="1" x14ac:dyDescent="0.35">
      <c r="A153" s="7">
        <v>152</v>
      </c>
      <c r="B153" s="7" t="s">
        <v>222</v>
      </c>
      <c r="C153" s="9" t="str">
        <f>IFERROR(INDEX('Item Bank'!$D$2:$D$78,MATCH($B153,'Item Bank'!$A$2:$A$78,0)),"")</f>
        <v>What is the Qo'llu in a Kambaata round house?</v>
      </c>
      <c r="D153" s="9" t="str">
        <f>IFERROR(INDEX('Item Bank'!$B$2:$B$78,MATCH($B153,'Item Bank'!$A$2:$A$78,0)),"")</f>
        <v>Domestic Architecture</v>
      </c>
      <c r="E153" s="7" t="s">
        <v>440</v>
      </c>
      <c r="F153" s="10">
        <v>46245</v>
      </c>
      <c r="G153" s="11" t="s">
        <v>595</v>
      </c>
      <c r="H153" s="12">
        <v>0</v>
      </c>
      <c r="I153" s="12" t="s">
        <v>444</v>
      </c>
      <c r="J153" s="12">
        <v>0</v>
      </c>
      <c r="K153" s="13"/>
      <c r="L153" s="12" t="s">
        <v>434</v>
      </c>
      <c r="M153" s="12"/>
      <c r="N153" s="11"/>
    </row>
    <row r="154" spans="1:14" ht="15.75" customHeight="1" x14ac:dyDescent="0.35">
      <c r="A154" s="7">
        <v>153</v>
      </c>
      <c r="B154" s="7" t="s">
        <v>226</v>
      </c>
      <c r="C154" s="9" t="str">
        <f>IFERROR(INDEX('Item Bank'!$D$2:$D$78,MATCH($B154,'Item Bank'!$A$2:$A$78,0)),"")</f>
        <v>What name is given to bulls with a white spot on their forehead in Kambaata?</v>
      </c>
      <c r="D154" s="9" t="str">
        <f>IFERROR(INDEX('Item Bank'!$B$2:$B$78,MATCH($B154,'Item Bank'!$A$2:$A$78,0)),"")</f>
        <v>Livestock Culture</v>
      </c>
      <c r="E154" s="7" t="s">
        <v>431</v>
      </c>
      <c r="F154" s="10">
        <v>46244</v>
      </c>
      <c r="G154" s="11" t="s">
        <v>596</v>
      </c>
      <c r="H154" s="12">
        <v>0</v>
      </c>
      <c r="I154" s="12" t="s">
        <v>448</v>
      </c>
      <c r="J154" s="12">
        <v>0</v>
      </c>
      <c r="K154" s="13"/>
      <c r="L154" s="12" t="s">
        <v>434</v>
      </c>
      <c r="M154" s="12"/>
      <c r="N154" s="11"/>
    </row>
    <row r="155" spans="1:14" ht="15.75" customHeight="1" x14ac:dyDescent="0.35">
      <c r="A155" s="7">
        <v>154</v>
      </c>
      <c r="B155" s="7" t="s">
        <v>226</v>
      </c>
      <c r="C155" s="9" t="str">
        <f>IFERROR(INDEX('Item Bank'!$D$2:$D$78,MATCH($B155,'Item Bank'!$A$2:$A$78,0)),"")</f>
        <v>What name is given to bulls with a white spot on their forehead in Kambaata?</v>
      </c>
      <c r="D155" s="9" t="str">
        <f>IFERROR(INDEX('Item Bank'!$B$2:$B$78,MATCH($B155,'Item Bank'!$A$2:$A$78,0)),"")</f>
        <v>Livestock Culture</v>
      </c>
      <c r="E155" s="7" t="s">
        <v>435</v>
      </c>
      <c r="F155" s="10">
        <v>46245</v>
      </c>
      <c r="G155" s="11" t="s">
        <v>597</v>
      </c>
      <c r="H155" s="12">
        <v>3</v>
      </c>
      <c r="I155" s="12" t="s">
        <v>442</v>
      </c>
      <c r="J155" s="12">
        <v>0</v>
      </c>
      <c r="K155" s="13"/>
      <c r="L155" s="12" t="s">
        <v>434</v>
      </c>
      <c r="M155" s="12"/>
      <c r="N155" s="11"/>
    </row>
    <row r="156" spans="1:14" ht="15.75" customHeight="1" x14ac:dyDescent="0.35">
      <c r="A156" s="7">
        <v>155</v>
      </c>
      <c r="B156" s="7" t="s">
        <v>226</v>
      </c>
      <c r="C156" s="9" t="str">
        <f>IFERROR(INDEX('Item Bank'!$D$2:$D$78,MATCH($B156,'Item Bank'!$A$2:$A$78,0)),"")</f>
        <v>What name is given to bulls with a white spot on their forehead in Kambaata?</v>
      </c>
      <c r="D156" s="9" t="str">
        <f>IFERROR(INDEX('Item Bank'!$B$2:$B$78,MATCH($B156,'Item Bank'!$A$2:$A$78,0)),"")</f>
        <v>Livestock Culture</v>
      </c>
      <c r="E156" s="7" t="s">
        <v>438</v>
      </c>
      <c r="F156" s="10">
        <v>46245</v>
      </c>
      <c r="G156" s="11" t="s">
        <v>598</v>
      </c>
      <c r="H156" s="12">
        <v>0</v>
      </c>
      <c r="I156" s="12" t="s">
        <v>444</v>
      </c>
      <c r="J156" s="12">
        <v>0</v>
      </c>
      <c r="K156" s="13"/>
      <c r="L156" s="12" t="s">
        <v>434</v>
      </c>
      <c r="M156" s="12"/>
      <c r="N156" s="11"/>
    </row>
    <row r="157" spans="1:14" ht="15.75" customHeight="1" x14ac:dyDescent="0.35">
      <c r="A157" s="7">
        <v>156</v>
      </c>
      <c r="B157" s="7" t="s">
        <v>226</v>
      </c>
      <c r="C157" s="9" t="str">
        <f>IFERROR(INDEX('Item Bank'!$D$2:$D$78,MATCH($B157,'Item Bank'!$A$2:$A$78,0)),"")</f>
        <v>What name is given to bulls with a white spot on their forehead in Kambaata?</v>
      </c>
      <c r="D157" s="9" t="str">
        <f>IFERROR(INDEX('Item Bank'!$B$2:$B$78,MATCH($B157,'Item Bank'!$A$2:$A$78,0)),"")</f>
        <v>Livestock Culture</v>
      </c>
      <c r="E157" s="7" t="s">
        <v>440</v>
      </c>
      <c r="F157" s="10">
        <v>46245</v>
      </c>
      <c r="G157" s="11" t="s">
        <v>599</v>
      </c>
      <c r="H157" s="12">
        <v>4</v>
      </c>
      <c r="I157" s="12" t="s">
        <v>444</v>
      </c>
      <c r="J157" s="12">
        <v>0</v>
      </c>
      <c r="K157" s="13"/>
      <c r="L157" s="12" t="s">
        <v>434</v>
      </c>
      <c r="M157" s="12"/>
      <c r="N157" s="11"/>
    </row>
    <row r="158" spans="1:14" ht="15.75" customHeight="1" x14ac:dyDescent="0.35">
      <c r="A158" s="7">
        <v>157</v>
      </c>
      <c r="B158" s="7" t="s">
        <v>233</v>
      </c>
      <c r="C158" s="9" t="str">
        <f>IFERROR(INDEX('Item Bank'!$D$2:$D$78,MATCH($B158,'Item Bank'!$A$2:$A$78,0)),"")</f>
        <v>What is the compound color term for "blue" in Kambaata?</v>
      </c>
      <c r="D158" s="9" t="str">
        <f>IFERROR(INDEX('Item Bank'!$B$2:$B$78,MATCH($B158,'Item Bank'!$A$2:$A$78,0)),"")</f>
        <v>Color Systems</v>
      </c>
      <c r="E158" s="7" t="s">
        <v>431</v>
      </c>
      <c r="F158" s="10">
        <v>46244</v>
      </c>
      <c r="G158" s="11" t="s">
        <v>600</v>
      </c>
      <c r="H158" s="12">
        <v>0</v>
      </c>
      <c r="I158" s="12" t="s">
        <v>448</v>
      </c>
      <c r="J158" s="12">
        <v>0</v>
      </c>
      <c r="K158" s="13"/>
      <c r="L158" s="12" t="s">
        <v>434</v>
      </c>
      <c r="M158" s="12"/>
      <c r="N158" s="11"/>
    </row>
    <row r="159" spans="1:14" ht="15.75" customHeight="1" x14ac:dyDescent="0.35">
      <c r="A159" s="7">
        <v>158</v>
      </c>
      <c r="B159" s="7" t="s">
        <v>233</v>
      </c>
      <c r="C159" s="9" t="str">
        <f>IFERROR(INDEX('Item Bank'!$D$2:$D$78,MATCH($B159,'Item Bank'!$A$2:$A$78,0)),"")</f>
        <v>What is the compound color term for "blue" in Kambaata?</v>
      </c>
      <c r="D159" s="9" t="str">
        <f>IFERROR(INDEX('Item Bank'!$B$2:$B$78,MATCH($B159,'Item Bank'!$A$2:$A$78,0)),"")</f>
        <v>Color Systems</v>
      </c>
      <c r="E159" s="7" t="s">
        <v>435</v>
      </c>
      <c r="F159" s="10">
        <v>46245</v>
      </c>
      <c r="G159" s="11" t="s">
        <v>601</v>
      </c>
      <c r="H159" s="12">
        <v>1</v>
      </c>
      <c r="I159" s="12" t="s">
        <v>448</v>
      </c>
      <c r="J159" s="12">
        <v>0</v>
      </c>
      <c r="K159" s="13"/>
      <c r="L159" s="12" t="s">
        <v>434</v>
      </c>
      <c r="M159" s="12"/>
      <c r="N159" s="11"/>
    </row>
    <row r="160" spans="1:14" ht="15.75" customHeight="1" x14ac:dyDescent="0.35">
      <c r="A160" s="7">
        <v>159</v>
      </c>
      <c r="B160" s="7" t="s">
        <v>233</v>
      </c>
      <c r="C160" s="9" t="str">
        <f>IFERROR(INDEX('Item Bank'!$D$2:$D$78,MATCH($B160,'Item Bank'!$A$2:$A$78,0)),"")</f>
        <v>What is the compound color term for "blue" in Kambaata?</v>
      </c>
      <c r="D160" s="9" t="str">
        <f>IFERROR(INDEX('Item Bank'!$B$2:$B$78,MATCH($B160,'Item Bank'!$A$2:$A$78,0)),"")</f>
        <v>Color Systems</v>
      </c>
      <c r="E160" s="7" t="s">
        <v>438</v>
      </c>
      <c r="F160" s="10">
        <v>46245</v>
      </c>
      <c r="G160" s="11" t="s">
        <v>602</v>
      </c>
      <c r="H160" s="12">
        <v>0</v>
      </c>
      <c r="I160" s="12" t="s">
        <v>444</v>
      </c>
      <c r="J160" s="12">
        <v>0</v>
      </c>
      <c r="K160" s="13"/>
      <c r="L160" s="12" t="s">
        <v>434</v>
      </c>
      <c r="M160" s="12"/>
      <c r="N160" s="11"/>
    </row>
    <row r="161" spans="1:14" ht="15.75" customHeight="1" x14ac:dyDescent="0.35">
      <c r="A161" s="7">
        <v>160</v>
      </c>
      <c r="B161" s="7" t="s">
        <v>233</v>
      </c>
      <c r="C161" s="9" t="str">
        <f>IFERROR(INDEX('Item Bank'!$D$2:$D$78,MATCH($B161,'Item Bank'!$A$2:$A$78,0)),"")</f>
        <v>What is the compound color term for "blue" in Kambaata?</v>
      </c>
      <c r="D161" s="9" t="str">
        <f>IFERROR(INDEX('Item Bank'!$B$2:$B$78,MATCH($B161,'Item Bank'!$A$2:$A$78,0)),"")</f>
        <v>Color Systems</v>
      </c>
      <c r="E161" s="7" t="s">
        <v>440</v>
      </c>
      <c r="F161" s="10">
        <v>46245</v>
      </c>
      <c r="G161" s="11" t="s">
        <v>603</v>
      </c>
      <c r="H161" s="12">
        <v>0</v>
      </c>
      <c r="I161" s="12" t="s">
        <v>444</v>
      </c>
      <c r="J161" s="12">
        <v>0</v>
      </c>
      <c r="K161" s="13"/>
      <c r="L161" s="12" t="s">
        <v>434</v>
      </c>
      <c r="M161" s="12"/>
      <c r="N161" s="11"/>
    </row>
    <row r="162" spans="1:14" ht="15.75" customHeight="1" x14ac:dyDescent="0.35">
      <c r="A162" s="7">
        <v>161</v>
      </c>
      <c r="B162" s="7" t="s">
        <v>239</v>
      </c>
      <c r="C162" s="9" t="str">
        <f>IFERROR(INDEX('Item Bank'!$D$2:$D$78,MATCH($B162,'Item Bank'!$A$2:$A$78,0)),"")</f>
        <v>What is the traditional Nuggussa circumcision ceremony?</v>
      </c>
      <c r="D162" s="9" t="str">
        <f>IFERROR(INDEX('Item Bank'!$B$2:$B$78,MATCH($B162,'Item Bank'!$A$2:$A$78,0)),"")</f>
        <v>Rites of Passage</v>
      </c>
      <c r="E162" s="7" t="s">
        <v>431</v>
      </c>
      <c r="F162" s="10">
        <v>46244</v>
      </c>
      <c r="G162" s="11" t="s">
        <v>604</v>
      </c>
      <c r="H162" s="12">
        <v>2</v>
      </c>
      <c r="I162" s="12" t="s">
        <v>442</v>
      </c>
      <c r="J162" s="12">
        <v>0</v>
      </c>
      <c r="K162" s="13"/>
      <c r="L162" s="12" t="s">
        <v>434</v>
      </c>
      <c r="M162" s="12"/>
      <c r="N162" s="11"/>
    </row>
    <row r="163" spans="1:14" ht="15.75" customHeight="1" x14ac:dyDescent="0.35">
      <c r="A163" s="7">
        <v>162</v>
      </c>
      <c r="B163" s="7" t="s">
        <v>239</v>
      </c>
      <c r="C163" s="9" t="str">
        <f>IFERROR(INDEX('Item Bank'!$D$2:$D$78,MATCH($B163,'Item Bank'!$A$2:$A$78,0)),"")</f>
        <v>What is the traditional Nuggussa circumcision ceremony?</v>
      </c>
      <c r="D163" s="9" t="str">
        <f>IFERROR(INDEX('Item Bank'!$B$2:$B$78,MATCH($B163,'Item Bank'!$A$2:$A$78,0)),"")</f>
        <v>Rites of Passage</v>
      </c>
      <c r="E163" s="7" t="s">
        <v>435</v>
      </c>
      <c r="F163" s="10">
        <v>46245</v>
      </c>
      <c r="G163" s="11" t="s">
        <v>605</v>
      </c>
      <c r="H163" s="12">
        <v>2</v>
      </c>
      <c r="I163" s="12" t="s">
        <v>442</v>
      </c>
      <c r="J163" s="12">
        <v>0</v>
      </c>
      <c r="K163" s="13"/>
      <c r="L163" s="12" t="s">
        <v>434</v>
      </c>
      <c r="M163" s="12"/>
      <c r="N163" s="11"/>
    </row>
    <row r="164" spans="1:14" ht="15.75" customHeight="1" x14ac:dyDescent="0.35">
      <c r="A164" s="7">
        <v>163</v>
      </c>
      <c r="B164" s="7" t="s">
        <v>239</v>
      </c>
      <c r="C164" s="9" t="str">
        <f>IFERROR(INDEX('Item Bank'!$D$2:$D$78,MATCH($B164,'Item Bank'!$A$2:$A$78,0)),"")</f>
        <v>What is the traditional Nuggussa circumcision ceremony?</v>
      </c>
      <c r="D164" s="9" t="str">
        <f>IFERROR(INDEX('Item Bank'!$B$2:$B$78,MATCH($B164,'Item Bank'!$A$2:$A$78,0)),"")</f>
        <v>Rites of Passage</v>
      </c>
      <c r="E164" s="7" t="s">
        <v>438</v>
      </c>
      <c r="F164" s="10">
        <v>46245</v>
      </c>
      <c r="G164" s="11" t="s">
        <v>606</v>
      </c>
      <c r="H164" s="12">
        <v>0</v>
      </c>
      <c r="I164" s="12" t="s">
        <v>444</v>
      </c>
      <c r="J164" s="12">
        <v>0</v>
      </c>
      <c r="K164" s="13"/>
      <c r="L164" s="12" t="s">
        <v>434</v>
      </c>
      <c r="M164" s="12"/>
      <c r="N164" s="11"/>
    </row>
    <row r="165" spans="1:14" ht="15.75" customHeight="1" x14ac:dyDescent="0.35">
      <c r="A165" s="7">
        <v>164</v>
      </c>
      <c r="B165" s="7" t="s">
        <v>239</v>
      </c>
      <c r="C165" s="9" t="str">
        <f>IFERROR(INDEX('Item Bank'!$D$2:$D$78,MATCH($B165,'Item Bank'!$A$2:$A$78,0)),"")</f>
        <v>What is the traditional Nuggussa circumcision ceremony?</v>
      </c>
      <c r="D165" s="9" t="str">
        <f>IFERROR(INDEX('Item Bank'!$B$2:$B$78,MATCH($B165,'Item Bank'!$A$2:$A$78,0)),"")</f>
        <v>Rites of Passage</v>
      </c>
      <c r="E165" s="7" t="s">
        <v>440</v>
      </c>
      <c r="F165" s="10">
        <v>46245</v>
      </c>
      <c r="G165" s="11" t="s">
        <v>607</v>
      </c>
      <c r="H165" s="12">
        <v>0</v>
      </c>
      <c r="I165" s="12" t="s">
        <v>444</v>
      </c>
      <c r="J165" s="12">
        <v>0</v>
      </c>
      <c r="K165" s="13"/>
      <c r="L165" s="12" t="s">
        <v>434</v>
      </c>
      <c r="M165" s="12"/>
      <c r="N165" s="11"/>
    </row>
    <row r="166" spans="1:14" ht="15.75" customHeight="1" x14ac:dyDescent="0.35">
      <c r="A166" s="7">
        <v>165</v>
      </c>
      <c r="B166" s="7" t="s">
        <v>245</v>
      </c>
      <c r="C166" s="9" t="str">
        <f>IFERROR(INDEX('Item Bank'!$D$2:$D$78,MATCH($B166,'Item Bank'!$A$2:$A$78,0)),"")</f>
        <v>What is the Bahiru in Kambaata kinship structure?</v>
      </c>
      <c r="D166" s="9" t="str">
        <f>IFERROR(INDEX('Item Bank'!$B$2:$B$78,MATCH($B166,'Item Bank'!$A$2:$A$78,0)),"")</f>
        <v>Kinship Structure</v>
      </c>
      <c r="E166" s="7" t="s">
        <v>431</v>
      </c>
      <c r="F166" s="10">
        <v>46244</v>
      </c>
      <c r="G166" s="11" t="s">
        <v>608</v>
      </c>
      <c r="H166" s="12">
        <v>0</v>
      </c>
      <c r="I166" s="12" t="s">
        <v>448</v>
      </c>
      <c r="J166" s="12">
        <v>0</v>
      </c>
      <c r="K166" s="13"/>
      <c r="L166" s="12" t="s">
        <v>434</v>
      </c>
      <c r="M166" s="12"/>
      <c r="N166" s="11"/>
    </row>
    <row r="167" spans="1:14" ht="15.75" customHeight="1" x14ac:dyDescent="0.35">
      <c r="A167" s="7">
        <v>166</v>
      </c>
      <c r="B167" s="7" t="s">
        <v>245</v>
      </c>
      <c r="C167" s="9" t="str">
        <f>IFERROR(INDEX('Item Bank'!$D$2:$D$78,MATCH($B167,'Item Bank'!$A$2:$A$78,0)),"")</f>
        <v>What is the Bahiru in Kambaata kinship structure?</v>
      </c>
      <c r="D167" s="9" t="str">
        <f>IFERROR(INDEX('Item Bank'!$B$2:$B$78,MATCH($B167,'Item Bank'!$A$2:$A$78,0)),"")</f>
        <v>Kinship Structure</v>
      </c>
      <c r="E167" s="7" t="s">
        <v>435</v>
      </c>
      <c r="F167" s="10">
        <v>46245</v>
      </c>
      <c r="G167" s="11" t="s">
        <v>609</v>
      </c>
      <c r="H167" s="12">
        <v>3</v>
      </c>
      <c r="I167" s="12" t="s">
        <v>444</v>
      </c>
      <c r="J167" s="12">
        <v>0</v>
      </c>
      <c r="K167" s="13"/>
      <c r="L167" s="12" t="s">
        <v>434</v>
      </c>
      <c r="M167" s="12"/>
      <c r="N167" s="11"/>
    </row>
    <row r="168" spans="1:14" ht="15.75" customHeight="1" x14ac:dyDescent="0.35">
      <c r="A168" s="7">
        <v>167</v>
      </c>
      <c r="B168" s="7" t="s">
        <v>245</v>
      </c>
      <c r="C168" s="9" t="str">
        <f>IFERROR(INDEX('Item Bank'!$D$2:$D$78,MATCH($B168,'Item Bank'!$A$2:$A$78,0)),"")</f>
        <v>What is the Bahiru in Kambaata kinship structure?</v>
      </c>
      <c r="D168" s="9" t="str">
        <f>IFERROR(INDEX('Item Bank'!$B$2:$B$78,MATCH($B168,'Item Bank'!$A$2:$A$78,0)),"")</f>
        <v>Kinship Structure</v>
      </c>
      <c r="E168" s="7" t="s">
        <v>438</v>
      </c>
      <c r="F168" s="10">
        <v>46245</v>
      </c>
      <c r="G168" s="11" t="s">
        <v>610</v>
      </c>
      <c r="H168" s="12">
        <v>0</v>
      </c>
      <c r="I168" s="12" t="s">
        <v>444</v>
      </c>
      <c r="J168" s="12">
        <v>0</v>
      </c>
      <c r="K168" s="13"/>
      <c r="L168" s="12" t="s">
        <v>434</v>
      </c>
      <c r="M168" s="12"/>
      <c r="N168" s="11"/>
    </row>
    <row r="169" spans="1:14" ht="15.75" customHeight="1" x14ac:dyDescent="0.35">
      <c r="A169" s="7">
        <v>168</v>
      </c>
      <c r="B169" s="7" t="s">
        <v>245</v>
      </c>
      <c r="C169" s="9" t="str">
        <f>IFERROR(INDEX('Item Bank'!$D$2:$D$78,MATCH($B169,'Item Bank'!$A$2:$A$78,0)),"")</f>
        <v>What is the Bahiru in Kambaata kinship structure?</v>
      </c>
      <c r="D169" s="9" t="str">
        <f>IFERROR(INDEX('Item Bank'!$B$2:$B$78,MATCH($B169,'Item Bank'!$A$2:$A$78,0)),"")</f>
        <v>Kinship Structure</v>
      </c>
      <c r="E169" s="7" t="s">
        <v>440</v>
      </c>
      <c r="F169" s="10">
        <v>46245</v>
      </c>
      <c r="G169" s="11" t="s">
        <v>611</v>
      </c>
      <c r="H169" s="12">
        <v>0</v>
      </c>
      <c r="I169" s="12" t="s">
        <v>442</v>
      </c>
      <c r="J169" s="12">
        <v>0</v>
      </c>
      <c r="K169" s="13"/>
      <c r="L169" s="12" t="s">
        <v>434</v>
      </c>
      <c r="M169" s="12"/>
      <c r="N169" s="11"/>
    </row>
    <row r="170" spans="1:14" ht="15.75" customHeight="1" x14ac:dyDescent="0.35">
      <c r="A170" s="7">
        <v>169</v>
      </c>
      <c r="B170" s="7" t="s">
        <v>251</v>
      </c>
      <c r="C170" s="9" t="str">
        <f>IFERROR(INDEX('Item Bank'!$D$2:$D$78,MATCH($B170,'Item Bank'!$A$2:$A$78,0)),"")</f>
        <v>What is the traditional assembly term Reeda in Hadiya and parts of Kambaata?</v>
      </c>
      <c r="D170" s="9" t="str">
        <f>IFERROR(INDEX('Item Bank'!$B$2:$B$78,MATCH($B170,'Item Bank'!$A$2:$A$78,0)),"")</f>
        <v>Customary Law</v>
      </c>
      <c r="E170" s="7" t="s">
        <v>431</v>
      </c>
      <c r="F170" s="10">
        <v>46244</v>
      </c>
      <c r="G170" s="11" t="s">
        <v>612</v>
      </c>
      <c r="H170" s="12">
        <v>3</v>
      </c>
      <c r="I170" s="12" t="s">
        <v>444</v>
      </c>
      <c r="J170" s="12">
        <v>0</v>
      </c>
      <c r="K170" s="13"/>
      <c r="L170" s="12" t="s">
        <v>434</v>
      </c>
      <c r="M170" s="12"/>
      <c r="N170" s="11"/>
    </row>
    <row r="171" spans="1:14" ht="15.75" customHeight="1" x14ac:dyDescent="0.35">
      <c r="A171" s="7">
        <v>170</v>
      </c>
      <c r="B171" s="7" t="s">
        <v>251</v>
      </c>
      <c r="C171" s="9" t="str">
        <f>IFERROR(INDEX('Item Bank'!$D$2:$D$78,MATCH($B171,'Item Bank'!$A$2:$A$78,0)),"")</f>
        <v>What is the traditional assembly term Reeda in Hadiya and parts of Kambaata?</v>
      </c>
      <c r="D171" s="9" t="str">
        <f>IFERROR(INDEX('Item Bank'!$B$2:$B$78,MATCH($B171,'Item Bank'!$A$2:$A$78,0)),"")</f>
        <v>Customary Law</v>
      </c>
      <c r="E171" s="7" t="s">
        <v>435</v>
      </c>
      <c r="F171" s="10">
        <v>46245</v>
      </c>
      <c r="G171" s="11" t="s">
        <v>613</v>
      </c>
      <c r="H171" s="12">
        <v>3</v>
      </c>
      <c r="I171" s="12" t="s">
        <v>444</v>
      </c>
      <c r="J171" s="12">
        <v>0</v>
      </c>
      <c r="K171" s="13"/>
      <c r="L171" s="12" t="s">
        <v>434</v>
      </c>
      <c r="M171" s="12"/>
      <c r="N171" s="11"/>
    </row>
    <row r="172" spans="1:14" ht="15.75" customHeight="1" x14ac:dyDescent="0.35">
      <c r="A172" s="7">
        <v>171</v>
      </c>
      <c r="B172" s="7" t="s">
        <v>251</v>
      </c>
      <c r="C172" s="9" t="str">
        <f>IFERROR(INDEX('Item Bank'!$D$2:$D$78,MATCH($B172,'Item Bank'!$A$2:$A$78,0)),"")</f>
        <v>What is the traditional assembly term Reeda in Hadiya and parts of Kambaata?</v>
      </c>
      <c r="D172" s="9" t="str">
        <f>IFERROR(INDEX('Item Bank'!$B$2:$B$78,MATCH($B172,'Item Bank'!$A$2:$A$78,0)),"")</f>
        <v>Customary Law</v>
      </c>
      <c r="E172" s="7" t="s">
        <v>438</v>
      </c>
      <c r="F172" s="10">
        <v>46245</v>
      </c>
      <c r="G172" s="11" t="s">
        <v>614</v>
      </c>
      <c r="H172" s="12">
        <v>0</v>
      </c>
      <c r="I172" s="12" t="s">
        <v>444</v>
      </c>
      <c r="J172" s="12">
        <v>0</v>
      </c>
      <c r="K172" s="13"/>
      <c r="L172" s="12" t="s">
        <v>434</v>
      </c>
      <c r="M172" s="12"/>
      <c r="N172" s="11"/>
    </row>
    <row r="173" spans="1:14" ht="15.75" customHeight="1" x14ac:dyDescent="0.35">
      <c r="A173" s="7">
        <v>172</v>
      </c>
      <c r="B173" s="7" t="s">
        <v>251</v>
      </c>
      <c r="C173" s="9" t="str">
        <f>IFERROR(INDEX('Item Bank'!$D$2:$D$78,MATCH($B173,'Item Bank'!$A$2:$A$78,0)),"")</f>
        <v>What is the traditional assembly term Reeda in Hadiya and parts of Kambaata?</v>
      </c>
      <c r="D173" s="9" t="str">
        <f>IFERROR(INDEX('Item Bank'!$B$2:$B$78,MATCH($B173,'Item Bank'!$A$2:$A$78,0)),"")</f>
        <v>Customary Law</v>
      </c>
      <c r="E173" s="7" t="s">
        <v>440</v>
      </c>
      <c r="F173" s="10">
        <v>46245</v>
      </c>
      <c r="G173" s="11" t="s">
        <v>615</v>
      </c>
      <c r="H173" s="12">
        <v>1</v>
      </c>
      <c r="I173" s="12" t="s">
        <v>442</v>
      </c>
      <c r="J173" s="12">
        <v>0</v>
      </c>
      <c r="K173" s="13"/>
      <c r="L173" s="12" t="s">
        <v>434</v>
      </c>
      <c r="M173" s="12"/>
      <c r="N173" s="11"/>
    </row>
    <row r="174" spans="1:14" ht="15.75" customHeight="1" x14ac:dyDescent="0.35">
      <c r="A174" s="7">
        <v>173</v>
      </c>
      <c r="B174" s="7" t="s">
        <v>256</v>
      </c>
      <c r="C174" s="9" t="str">
        <f>IFERROR(INDEX('Item Bank'!$D$2:$D$78,MATCH($B174,'Item Bank'!$A$2:$A$78,0)),"")</f>
        <v>What is the Maxóo (Maxo) season in Kambaata calendar?</v>
      </c>
      <c r="D174" s="9" t="str">
        <f>IFERROR(INDEX('Item Bank'!$B$2:$B$78,MATCH($B174,'Item Bank'!$A$2:$A$78,0)),"")</f>
        <v>Calendar / Timekeeping</v>
      </c>
      <c r="E174" s="7" t="s">
        <v>431</v>
      </c>
      <c r="F174" s="10">
        <v>46244</v>
      </c>
      <c r="G174" s="11" t="s">
        <v>616</v>
      </c>
      <c r="H174" s="12">
        <v>3</v>
      </c>
      <c r="I174" s="12" t="s">
        <v>444</v>
      </c>
      <c r="J174" s="12">
        <v>0</v>
      </c>
      <c r="K174" s="13"/>
      <c r="L174" s="12" t="s">
        <v>434</v>
      </c>
      <c r="M174" s="12"/>
      <c r="N174" s="11"/>
    </row>
    <row r="175" spans="1:14" ht="15.75" customHeight="1" x14ac:dyDescent="0.35">
      <c r="A175" s="7">
        <v>174</v>
      </c>
      <c r="B175" s="7" t="s">
        <v>256</v>
      </c>
      <c r="C175" s="9" t="str">
        <f>IFERROR(INDEX('Item Bank'!$D$2:$D$78,MATCH($B175,'Item Bank'!$A$2:$A$78,0)),"")</f>
        <v>What is the Maxóo (Maxo) season in Kambaata calendar?</v>
      </c>
      <c r="D175" s="9" t="str">
        <f>IFERROR(INDEX('Item Bank'!$B$2:$B$78,MATCH($B175,'Item Bank'!$A$2:$A$78,0)),"")</f>
        <v>Calendar / Timekeeping</v>
      </c>
      <c r="E175" s="7" t="s">
        <v>435</v>
      </c>
      <c r="F175" s="10">
        <v>46245</v>
      </c>
      <c r="G175" s="11" t="s">
        <v>617</v>
      </c>
      <c r="H175" s="12">
        <v>0</v>
      </c>
      <c r="I175" s="12" t="s">
        <v>448</v>
      </c>
      <c r="J175" s="12">
        <v>0</v>
      </c>
      <c r="K175" s="13"/>
      <c r="L175" s="12" t="s">
        <v>434</v>
      </c>
      <c r="M175" s="12"/>
      <c r="N175" s="11"/>
    </row>
    <row r="176" spans="1:14" ht="15.75" customHeight="1" x14ac:dyDescent="0.35">
      <c r="A176" s="7">
        <v>175</v>
      </c>
      <c r="B176" s="7" t="s">
        <v>256</v>
      </c>
      <c r="C176" s="9" t="str">
        <f>IFERROR(INDEX('Item Bank'!$D$2:$D$78,MATCH($B176,'Item Bank'!$A$2:$A$78,0)),"")</f>
        <v>What is the Maxóo (Maxo) season in Kambaata calendar?</v>
      </c>
      <c r="D176" s="9" t="str">
        <f>IFERROR(INDEX('Item Bank'!$B$2:$B$78,MATCH($B176,'Item Bank'!$A$2:$A$78,0)),"")</f>
        <v>Calendar / Timekeeping</v>
      </c>
      <c r="E176" s="7" t="s">
        <v>438</v>
      </c>
      <c r="F176" s="10">
        <v>46245</v>
      </c>
      <c r="G176" s="11" t="s">
        <v>618</v>
      </c>
      <c r="H176" s="12">
        <v>0</v>
      </c>
      <c r="I176" s="12" t="s">
        <v>444</v>
      </c>
      <c r="J176" s="12">
        <v>0</v>
      </c>
      <c r="K176" s="13"/>
      <c r="L176" s="12" t="s">
        <v>434</v>
      </c>
      <c r="M176" s="12"/>
      <c r="N176" s="11"/>
    </row>
    <row r="177" spans="1:14" ht="15.75" customHeight="1" x14ac:dyDescent="0.35">
      <c r="A177" s="7">
        <v>176</v>
      </c>
      <c r="B177" s="7" t="s">
        <v>256</v>
      </c>
      <c r="C177" s="9" t="str">
        <f>IFERROR(INDEX('Item Bank'!$D$2:$D$78,MATCH($B177,'Item Bank'!$A$2:$A$78,0)),"")</f>
        <v>What is the Maxóo (Maxo) season in Kambaata calendar?</v>
      </c>
      <c r="D177" s="9" t="str">
        <f>IFERROR(INDEX('Item Bank'!$B$2:$B$78,MATCH($B177,'Item Bank'!$A$2:$A$78,0)),"")</f>
        <v>Calendar / Timekeeping</v>
      </c>
      <c r="E177" s="7" t="s">
        <v>440</v>
      </c>
      <c r="F177" s="10">
        <v>46245</v>
      </c>
      <c r="G177" s="11" t="s">
        <v>619</v>
      </c>
      <c r="H177" s="12">
        <v>0</v>
      </c>
      <c r="I177" s="12" t="s">
        <v>444</v>
      </c>
      <c r="J177" s="12">
        <v>0</v>
      </c>
      <c r="K177" s="13"/>
      <c r="L177" s="12" t="s">
        <v>434</v>
      </c>
      <c r="M177" s="12"/>
      <c r="N177" s="11"/>
    </row>
    <row r="178" spans="1:14" ht="15.75" customHeight="1" x14ac:dyDescent="0.35">
      <c r="A178" s="7">
        <v>177</v>
      </c>
      <c r="B178" s="7" t="s">
        <v>262</v>
      </c>
      <c r="C178" s="9" t="str">
        <f>IFERROR(INDEX('Item Bank'!$D$2:$D$78,MATCH($B178,'Item Bank'!$A$2:$A$78,0)),"")</f>
        <v>What is the Hagúu season in Kambaata calendar?</v>
      </c>
      <c r="D178" s="9" t="str">
        <f>IFERROR(INDEX('Item Bank'!$B$2:$B$78,MATCH($B178,'Item Bank'!$A$2:$A$78,0)),"")</f>
        <v>Calendar / Timekeeping</v>
      </c>
      <c r="E178" s="7" t="s">
        <v>431</v>
      </c>
      <c r="F178" s="10">
        <v>46244</v>
      </c>
      <c r="G178" s="11" t="s">
        <v>620</v>
      </c>
      <c r="H178" s="12">
        <v>3</v>
      </c>
      <c r="I178" s="12" t="s">
        <v>444</v>
      </c>
      <c r="J178" s="12">
        <v>0</v>
      </c>
      <c r="K178" s="13"/>
      <c r="L178" s="12" t="s">
        <v>434</v>
      </c>
      <c r="M178" s="12"/>
      <c r="N178" s="11"/>
    </row>
    <row r="179" spans="1:14" ht="15.75" customHeight="1" x14ac:dyDescent="0.35">
      <c r="A179" s="7">
        <v>178</v>
      </c>
      <c r="B179" s="7" t="s">
        <v>262</v>
      </c>
      <c r="C179" s="9" t="str">
        <f>IFERROR(INDEX('Item Bank'!$D$2:$D$78,MATCH($B179,'Item Bank'!$A$2:$A$78,0)),"")</f>
        <v>What is the Hagúu season in Kambaata calendar?</v>
      </c>
      <c r="D179" s="9" t="str">
        <f>IFERROR(INDEX('Item Bank'!$B$2:$B$78,MATCH($B179,'Item Bank'!$A$2:$A$78,0)),"")</f>
        <v>Calendar / Timekeeping</v>
      </c>
      <c r="E179" s="7" t="s">
        <v>435</v>
      </c>
      <c r="F179" s="10">
        <v>46245</v>
      </c>
      <c r="G179" s="11" t="s">
        <v>621</v>
      </c>
      <c r="H179" s="12">
        <v>4</v>
      </c>
      <c r="I179" s="12" t="s">
        <v>444</v>
      </c>
      <c r="J179" s="12">
        <v>0</v>
      </c>
      <c r="K179" s="13"/>
      <c r="L179" s="12" t="s">
        <v>434</v>
      </c>
      <c r="M179" s="12"/>
      <c r="N179" s="11"/>
    </row>
    <row r="180" spans="1:14" ht="15.75" customHeight="1" x14ac:dyDescent="0.35">
      <c r="A180" s="7">
        <v>179</v>
      </c>
      <c r="B180" s="7" t="s">
        <v>262</v>
      </c>
      <c r="C180" s="9" t="str">
        <f>IFERROR(INDEX('Item Bank'!$D$2:$D$78,MATCH($B180,'Item Bank'!$A$2:$A$78,0)),"")</f>
        <v>What is the Hagúu season in Kambaata calendar?</v>
      </c>
      <c r="D180" s="9" t="str">
        <f>IFERROR(INDEX('Item Bank'!$B$2:$B$78,MATCH($B180,'Item Bank'!$A$2:$A$78,0)),"")</f>
        <v>Calendar / Timekeeping</v>
      </c>
      <c r="E180" s="7" t="s">
        <v>438</v>
      </c>
      <c r="F180" s="10">
        <v>46245</v>
      </c>
      <c r="G180" s="11" t="s">
        <v>622</v>
      </c>
      <c r="H180" s="12">
        <v>0</v>
      </c>
      <c r="I180" s="12" t="s">
        <v>444</v>
      </c>
      <c r="J180" s="12">
        <v>0</v>
      </c>
      <c r="K180" s="13"/>
      <c r="L180" s="12" t="s">
        <v>434</v>
      </c>
      <c r="M180" s="12"/>
      <c r="N180" s="11"/>
    </row>
    <row r="181" spans="1:14" ht="15.75" customHeight="1" x14ac:dyDescent="0.35">
      <c r="A181" s="7">
        <v>180</v>
      </c>
      <c r="B181" s="7" t="s">
        <v>262</v>
      </c>
      <c r="C181" s="9" t="str">
        <f>IFERROR(INDEX('Item Bank'!$D$2:$D$78,MATCH($B181,'Item Bank'!$A$2:$A$78,0)),"")</f>
        <v>What is the Hagúu season in Kambaata calendar?</v>
      </c>
      <c r="D181" s="9" t="str">
        <f>IFERROR(INDEX('Item Bank'!$B$2:$B$78,MATCH($B181,'Item Bank'!$A$2:$A$78,0)),"")</f>
        <v>Calendar / Timekeeping</v>
      </c>
      <c r="E181" s="7" t="s">
        <v>440</v>
      </c>
      <c r="F181" s="10">
        <v>46245</v>
      </c>
      <c r="G181" s="11" t="s">
        <v>623</v>
      </c>
      <c r="H181" s="12">
        <v>0</v>
      </c>
      <c r="I181" s="12" t="s">
        <v>444</v>
      </c>
      <c r="J181" s="12">
        <v>0</v>
      </c>
      <c r="K181" s="13"/>
      <c r="L181" s="12" t="s">
        <v>434</v>
      </c>
      <c r="M181" s="12"/>
      <c r="N181" s="11"/>
    </row>
    <row r="182" spans="1:14" ht="15.75" customHeight="1" x14ac:dyDescent="0.35">
      <c r="A182" s="7">
        <v>181</v>
      </c>
      <c r="B182" s="7" t="s">
        <v>266</v>
      </c>
      <c r="C182" s="9" t="str">
        <f>IFERROR(INDEX('Item Bank'!$D$2:$D$78,MATCH($B182,'Item Bank'!$A$2:$A$78,0)),"")</f>
        <v>What Gregorian dates correspond to the Kambaata month Hamilée-ta?</v>
      </c>
      <c r="D182" s="9" t="str">
        <f>IFERROR(INDEX('Item Bank'!$B$2:$B$78,MATCH($B182,'Item Bank'!$A$2:$A$78,0)),"")</f>
        <v>Calendar / Timekeeping</v>
      </c>
      <c r="E182" s="7" t="s">
        <v>431</v>
      </c>
      <c r="F182" s="10">
        <v>46244</v>
      </c>
      <c r="G182" s="11" t="s">
        <v>624</v>
      </c>
      <c r="H182" s="12">
        <v>0</v>
      </c>
      <c r="I182" s="12" t="s">
        <v>448</v>
      </c>
      <c r="J182" s="12">
        <v>0</v>
      </c>
      <c r="K182" s="13"/>
      <c r="L182" s="12" t="s">
        <v>434</v>
      </c>
      <c r="M182" s="12"/>
      <c r="N182" s="11"/>
    </row>
    <row r="183" spans="1:14" ht="15.75" customHeight="1" x14ac:dyDescent="0.35">
      <c r="A183" s="7">
        <v>182</v>
      </c>
      <c r="B183" s="7" t="s">
        <v>266</v>
      </c>
      <c r="C183" s="9" t="str">
        <f>IFERROR(INDEX('Item Bank'!$D$2:$D$78,MATCH($B183,'Item Bank'!$A$2:$A$78,0)),"")</f>
        <v>What Gregorian dates correspond to the Kambaata month Hamilée-ta?</v>
      </c>
      <c r="D183" s="9" t="str">
        <f>IFERROR(INDEX('Item Bank'!$B$2:$B$78,MATCH($B183,'Item Bank'!$A$2:$A$78,0)),"")</f>
        <v>Calendar / Timekeeping</v>
      </c>
      <c r="E183" s="7" t="s">
        <v>435</v>
      </c>
      <c r="F183" s="10">
        <v>46245</v>
      </c>
      <c r="G183" s="11" t="s">
        <v>625</v>
      </c>
      <c r="H183" s="12">
        <v>4</v>
      </c>
      <c r="I183" s="12" t="s">
        <v>444</v>
      </c>
      <c r="J183" s="12">
        <v>0</v>
      </c>
      <c r="K183" s="13"/>
      <c r="L183" s="12" t="s">
        <v>434</v>
      </c>
      <c r="M183" s="12"/>
      <c r="N183" s="11"/>
    </row>
    <row r="184" spans="1:14" ht="15.75" customHeight="1" x14ac:dyDescent="0.35">
      <c r="A184" s="7">
        <v>183</v>
      </c>
      <c r="B184" s="7" t="s">
        <v>266</v>
      </c>
      <c r="C184" s="9" t="str">
        <f>IFERROR(INDEX('Item Bank'!$D$2:$D$78,MATCH($B184,'Item Bank'!$A$2:$A$78,0)),"")</f>
        <v>What Gregorian dates correspond to the Kambaata month Hamilée-ta?</v>
      </c>
      <c r="D184" s="9" t="str">
        <f>IFERROR(INDEX('Item Bank'!$B$2:$B$78,MATCH($B184,'Item Bank'!$A$2:$A$78,0)),"")</f>
        <v>Calendar / Timekeeping</v>
      </c>
      <c r="E184" s="7" t="s">
        <v>438</v>
      </c>
      <c r="F184" s="10">
        <v>46245</v>
      </c>
      <c r="G184" s="11" t="s">
        <v>626</v>
      </c>
      <c r="H184" s="12">
        <v>0</v>
      </c>
      <c r="I184" s="12" t="s">
        <v>444</v>
      </c>
      <c r="J184" s="12">
        <v>0</v>
      </c>
      <c r="K184" s="13"/>
      <c r="L184" s="12" t="s">
        <v>434</v>
      </c>
      <c r="M184" s="12"/>
      <c r="N184" s="11"/>
    </row>
    <row r="185" spans="1:14" ht="15.75" customHeight="1" x14ac:dyDescent="0.35">
      <c r="A185" s="7">
        <v>184</v>
      </c>
      <c r="B185" s="7" t="s">
        <v>266</v>
      </c>
      <c r="C185" s="9" t="str">
        <f>IFERROR(INDEX('Item Bank'!$D$2:$D$78,MATCH($B185,'Item Bank'!$A$2:$A$78,0)),"")</f>
        <v>What Gregorian dates correspond to the Kambaata month Hamilée-ta?</v>
      </c>
      <c r="D185" s="9" t="str">
        <f>IFERROR(INDEX('Item Bank'!$B$2:$B$78,MATCH($B185,'Item Bank'!$A$2:$A$78,0)),"")</f>
        <v>Calendar / Timekeeping</v>
      </c>
      <c r="E185" s="7" t="s">
        <v>440</v>
      </c>
      <c r="F185" s="10">
        <v>46245</v>
      </c>
      <c r="G185" s="11" t="s">
        <v>627</v>
      </c>
      <c r="H185" s="12">
        <v>0</v>
      </c>
      <c r="I185" s="12" t="s">
        <v>444</v>
      </c>
      <c r="J185" s="12">
        <v>0</v>
      </c>
      <c r="K185" s="13"/>
      <c r="L185" s="12" t="s">
        <v>434</v>
      </c>
      <c r="M185" s="12"/>
      <c r="N185" s="11"/>
    </row>
    <row r="186" spans="1:14" ht="15.75" customHeight="1" x14ac:dyDescent="0.35">
      <c r="A186" s="7">
        <v>185</v>
      </c>
      <c r="B186" s="7" t="s">
        <v>271</v>
      </c>
      <c r="C186" s="9" t="str">
        <f>IFERROR(INDEX('Item Bank'!$D$2:$D$78,MATCH($B186,'Item Bank'!$A$2:$A$78,0)),"")</f>
        <v>What is Sanná in the traditional Kambaata calendar?</v>
      </c>
      <c r="D186" s="9" t="str">
        <f>IFERROR(INDEX('Item Bank'!$B$2:$B$78,MATCH($B186,'Item Bank'!$A$2:$A$78,0)),"")</f>
        <v>Calendar / Timekeeping</v>
      </c>
      <c r="E186" s="7" t="s">
        <v>431</v>
      </c>
      <c r="F186" s="10">
        <v>46244</v>
      </c>
      <c r="G186" s="11" t="s">
        <v>628</v>
      </c>
      <c r="H186" s="12">
        <v>0</v>
      </c>
      <c r="I186" s="12" t="s">
        <v>448</v>
      </c>
      <c r="J186" s="12">
        <v>0</v>
      </c>
      <c r="K186" s="13"/>
      <c r="L186" s="12" t="s">
        <v>434</v>
      </c>
      <c r="M186" s="12"/>
      <c r="N186" s="11"/>
    </row>
    <row r="187" spans="1:14" ht="15.75" customHeight="1" x14ac:dyDescent="0.35">
      <c r="A187" s="7">
        <v>186</v>
      </c>
      <c r="B187" s="7" t="s">
        <v>271</v>
      </c>
      <c r="C187" s="9" t="str">
        <f>IFERROR(INDEX('Item Bank'!$D$2:$D$78,MATCH($B187,'Item Bank'!$A$2:$A$78,0)),"")</f>
        <v>What is Sanná in the traditional Kambaata calendar?</v>
      </c>
      <c r="D187" s="9" t="str">
        <f>IFERROR(INDEX('Item Bank'!$B$2:$B$78,MATCH($B187,'Item Bank'!$A$2:$A$78,0)),"")</f>
        <v>Calendar / Timekeeping</v>
      </c>
      <c r="E187" s="7" t="s">
        <v>435</v>
      </c>
      <c r="F187" s="10">
        <v>46245</v>
      </c>
      <c r="G187" s="11" t="s">
        <v>629</v>
      </c>
      <c r="H187" s="12">
        <v>3</v>
      </c>
      <c r="I187" s="12" t="s">
        <v>444</v>
      </c>
      <c r="J187" s="12">
        <v>0</v>
      </c>
      <c r="K187" s="13"/>
      <c r="L187" s="12" t="s">
        <v>434</v>
      </c>
      <c r="M187" s="12"/>
      <c r="N187" s="11"/>
    </row>
    <row r="188" spans="1:14" ht="15.75" customHeight="1" x14ac:dyDescent="0.35">
      <c r="A188" s="7">
        <v>187</v>
      </c>
      <c r="B188" s="7" t="s">
        <v>271</v>
      </c>
      <c r="C188" s="9" t="str">
        <f>IFERROR(INDEX('Item Bank'!$D$2:$D$78,MATCH($B188,'Item Bank'!$A$2:$A$78,0)),"")</f>
        <v>What is Sanná in the traditional Kambaata calendar?</v>
      </c>
      <c r="D188" s="9" t="str">
        <f>IFERROR(INDEX('Item Bank'!$B$2:$B$78,MATCH($B188,'Item Bank'!$A$2:$A$78,0)),"")</f>
        <v>Calendar / Timekeeping</v>
      </c>
      <c r="E188" s="7" t="s">
        <v>438</v>
      </c>
      <c r="F188" s="10">
        <v>46245</v>
      </c>
      <c r="G188" s="11" t="s">
        <v>630</v>
      </c>
      <c r="H188" s="12">
        <v>0</v>
      </c>
      <c r="I188" s="12" t="s">
        <v>444</v>
      </c>
      <c r="J188" s="12">
        <v>0</v>
      </c>
      <c r="K188" s="13"/>
      <c r="L188" s="12" t="s">
        <v>434</v>
      </c>
      <c r="M188" s="12"/>
      <c r="N188" s="11"/>
    </row>
    <row r="189" spans="1:14" ht="15.75" customHeight="1" x14ac:dyDescent="0.35">
      <c r="A189" s="7">
        <v>188</v>
      </c>
      <c r="B189" s="7" t="s">
        <v>271</v>
      </c>
      <c r="C189" s="9" t="str">
        <f>IFERROR(INDEX('Item Bank'!$D$2:$D$78,MATCH($B189,'Item Bank'!$A$2:$A$78,0)),"")</f>
        <v>What is Sanná in the traditional Kambaata calendar?</v>
      </c>
      <c r="D189" s="9" t="str">
        <f>IFERROR(INDEX('Item Bank'!$B$2:$B$78,MATCH($B189,'Item Bank'!$A$2:$A$78,0)),"")</f>
        <v>Calendar / Timekeeping</v>
      </c>
      <c r="E189" s="7" t="s">
        <v>440</v>
      </c>
      <c r="F189" s="10">
        <v>46245</v>
      </c>
      <c r="G189" s="11" t="s">
        <v>631</v>
      </c>
      <c r="H189" s="12">
        <v>0</v>
      </c>
      <c r="I189" s="12" t="s">
        <v>444</v>
      </c>
      <c r="J189" s="12">
        <v>0</v>
      </c>
      <c r="K189" s="13"/>
      <c r="L189" s="12" t="s">
        <v>434</v>
      </c>
      <c r="M189" s="12"/>
      <c r="N189" s="11"/>
    </row>
    <row r="190" spans="1:14" ht="15.75" customHeight="1" x14ac:dyDescent="0.35">
      <c r="A190" s="7">
        <v>189</v>
      </c>
      <c r="B190" s="7" t="s">
        <v>275</v>
      </c>
      <c r="C190" s="9" t="str">
        <f>IFERROR(INDEX('Item Bank'!$D$2:$D$78,MATCH($B190,'Item Bank'!$A$2:$A$78,0)),"")</f>
        <v>What is the Hezzeettú weekly cycle?</v>
      </c>
      <c r="D190" s="9" t="str">
        <f>IFERROR(INDEX('Item Bank'!$B$2:$B$78,MATCH($B190,'Item Bank'!$A$2:$A$78,0)),"")</f>
        <v>Calendar / Timekeeping</v>
      </c>
      <c r="E190" s="7" t="s">
        <v>431</v>
      </c>
      <c r="F190" s="10">
        <v>46244</v>
      </c>
      <c r="G190" s="11" t="s">
        <v>632</v>
      </c>
      <c r="H190" s="12">
        <v>2</v>
      </c>
      <c r="I190" s="12" t="s">
        <v>444</v>
      </c>
      <c r="J190" s="12">
        <v>0</v>
      </c>
      <c r="K190" s="13"/>
      <c r="L190" s="12" t="s">
        <v>434</v>
      </c>
      <c r="M190" s="12"/>
      <c r="N190" s="11"/>
    </row>
    <row r="191" spans="1:14" ht="15.75" customHeight="1" x14ac:dyDescent="0.35">
      <c r="A191" s="7">
        <v>190</v>
      </c>
      <c r="B191" s="7" t="s">
        <v>275</v>
      </c>
      <c r="C191" s="9" t="str">
        <f>IFERROR(INDEX('Item Bank'!$D$2:$D$78,MATCH($B191,'Item Bank'!$A$2:$A$78,0)),"")</f>
        <v>What is the Hezzeettú weekly cycle?</v>
      </c>
      <c r="D191" s="9" t="str">
        <f>IFERROR(INDEX('Item Bank'!$B$2:$B$78,MATCH($B191,'Item Bank'!$A$2:$A$78,0)),"")</f>
        <v>Calendar / Timekeeping</v>
      </c>
      <c r="E191" s="7" t="s">
        <v>435</v>
      </c>
      <c r="F191" s="10">
        <v>46245</v>
      </c>
      <c r="G191" s="11" t="s">
        <v>633</v>
      </c>
      <c r="H191" s="12">
        <v>4</v>
      </c>
      <c r="I191" s="12" t="s">
        <v>444</v>
      </c>
      <c r="J191" s="12">
        <v>0</v>
      </c>
      <c r="K191" s="13"/>
      <c r="L191" s="12" t="s">
        <v>434</v>
      </c>
      <c r="M191" s="12"/>
      <c r="N191" s="11"/>
    </row>
    <row r="192" spans="1:14" ht="15.75" customHeight="1" x14ac:dyDescent="0.35">
      <c r="A192" s="7">
        <v>191</v>
      </c>
      <c r="B192" s="7" t="s">
        <v>275</v>
      </c>
      <c r="C192" s="9" t="str">
        <f>IFERROR(INDEX('Item Bank'!$D$2:$D$78,MATCH($B192,'Item Bank'!$A$2:$A$78,0)),"")</f>
        <v>What is the Hezzeettú weekly cycle?</v>
      </c>
      <c r="D192" s="9" t="str">
        <f>IFERROR(INDEX('Item Bank'!$B$2:$B$78,MATCH($B192,'Item Bank'!$A$2:$A$78,0)),"")</f>
        <v>Calendar / Timekeeping</v>
      </c>
      <c r="E192" s="7" t="s">
        <v>438</v>
      </c>
      <c r="F192" s="10">
        <v>46245</v>
      </c>
      <c r="G192" s="11" t="s">
        <v>634</v>
      </c>
      <c r="H192" s="12">
        <v>0</v>
      </c>
      <c r="I192" s="12" t="s">
        <v>444</v>
      </c>
      <c r="J192" s="12">
        <v>0</v>
      </c>
      <c r="K192" s="13"/>
      <c r="L192" s="12" t="s">
        <v>434</v>
      </c>
      <c r="M192" s="12"/>
      <c r="N192" s="11"/>
    </row>
    <row r="193" spans="1:14" ht="15.75" customHeight="1" x14ac:dyDescent="0.35">
      <c r="A193" s="7">
        <v>192</v>
      </c>
      <c r="B193" s="7" t="s">
        <v>275</v>
      </c>
      <c r="C193" s="9" t="str">
        <f>IFERROR(INDEX('Item Bank'!$D$2:$D$78,MATCH($B193,'Item Bank'!$A$2:$A$78,0)),"")</f>
        <v>What is the Hezzeettú weekly cycle?</v>
      </c>
      <c r="D193" s="9" t="str">
        <f>IFERROR(INDEX('Item Bank'!$B$2:$B$78,MATCH($B193,'Item Bank'!$A$2:$A$78,0)),"")</f>
        <v>Calendar / Timekeeping</v>
      </c>
      <c r="E193" s="7" t="s">
        <v>440</v>
      </c>
      <c r="F193" s="10">
        <v>46245</v>
      </c>
      <c r="G193" s="11" t="s">
        <v>635</v>
      </c>
      <c r="H193" s="12">
        <v>0</v>
      </c>
      <c r="I193" s="12" t="s">
        <v>444</v>
      </c>
      <c r="J193" s="12">
        <v>0</v>
      </c>
      <c r="K193" s="13"/>
      <c r="L193" s="12" t="s">
        <v>434</v>
      </c>
      <c r="M193" s="12"/>
      <c r="N193" s="11"/>
    </row>
    <row r="194" spans="1:14" ht="15.75" customHeight="1" x14ac:dyDescent="0.35">
      <c r="A194" s="7">
        <v>193</v>
      </c>
      <c r="B194" s="7" t="s">
        <v>279</v>
      </c>
      <c r="C194" s="9" t="str">
        <f>IFERROR(INDEX('Item Bank'!$D$2:$D$78,MATCH($B194,'Item Bank'!$A$2:$A$78,0)),"")</f>
        <v>What is the Sada grass used for in fandaano rituals?</v>
      </c>
      <c r="D194" s="9" t="str">
        <f>IFERROR(INDEX('Item Bank'!$B$2:$B$78,MATCH($B194,'Item Bank'!$A$2:$A$78,0)),"")</f>
        <v>Traditional Religion</v>
      </c>
      <c r="E194" s="7" t="s">
        <v>431</v>
      </c>
      <c r="F194" s="10">
        <v>46244</v>
      </c>
      <c r="G194" s="11" t="s">
        <v>636</v>
      </c>
      <c r="H194" s="12">
        <v>2</v>
      </c>
      <c r="I194" s="12" t="s">
        <v>442</v>
      </c>
      <c r="J194" s="12">
        <v>0</v>
      </c>
      <c r="K194" s="13"/>
      <c r="L194" s="12" t="s">
        <v>434</v>
      </c>
      <c r="M194" s="12"/>
      <c r="N194" s="11"/>
    </row>
    <row r="195" spans="1:14" ht="15.75" customHeight="1" x14ac:dyDescent="0.35">
      <c r="A195" s="7">
        <v>194</v>
      </c>
      <c r="B195" s="7" t="s">
        <v>279</v>
      </c>
      <c r="C195" s="9" t="str">
        <f>IFERROR(INDEX('Item Bank'!$D$2:$D$78,MATCH($B195,'Item Bank'!$A$2:$A$78,0)),"")</f>
        <v>What is the Sada grass used for in fandaano rituals?</v>
      </c>
      <c r="D195" s="9" t="str">
        <f>IFERROR(INDEX('Item Bank'!$B$2:$B$78,MATCH($B195,'Item Bank'!$A$2:$A$78,0)),"")</f>
        <v>Traditional Religion</v>
      </c>
      <c r="E195" s="7" t="s">
        <v>435</v>
      </c>
      <c r="F195" s="10">
        <v>46245</v>
      </c>
      <c r="G195" s="11" t="s">
        <v>637</v>
      </c>
      <c r="H195" s="12">
        <v>3</v>
      </c>
      <c r="I195" s="12" t="s">
        <v>444</v>
      </c>
      <c r="J195" s="12">
        <v>0</v>
      </c>
      <c r="K195" s="13"/>
      <c r="L195" s="12" t="s">
        <v>434</v>
      </c>
      <c r="M195" s="12"/>
      <c r="N195" s="11"/>
    </row>
    <row r="196" spans="1:14" ht="15.75" customHeight="1" x14ac:dyDescent="0.35">
      <c r="A196" s="7">
        <v>195</v>
      </c>
      <c r="B196" s="7" t="s">
        <v>279</v>
      </c>
      <c r="C196" s="9" t="str">
        <f>IFERROR(INDEX('Item Bank'!$D$2:$D$78,MATCH($B196,'Item Bank'!$A$2:$A$78,0)),"")</f>
        <v>What is the Sada grass used for in fandaano rituals?</v>
      </c>
      <c r="D196" s="9" t="str">
        <f>IFERROR(INDEX('Item Bank'!$B$2:$B$78,MATCH($B196,'Item Bank'!$A$2:$A$78,0)),"")</f>
        <v>Traditional Religion</v>
      </c>
      <c r="E196" s="7" t="s">
        <v>438</v>
      </c>
      <c r="F196" s="10">
        <v>46245</v>
      </c>
      <c r="G196" s="11" t="s">
        <v>638</v>
      </c>
      <c r="H196" s="12">
        <v>0</v>
      </c>
      <c r="I196" s="12" t="s">
        <v>444</v>
      </c>
      <c r="J196" s="12">
        <v>0</v>
      </c>
      <c r="K196" s="13"/>
      <c r="L196" s="12" t="s">
        <v>434</v>
      </c>
      <c r="M196" s="12"/>
      <c r="N196" s="11"/>
    </row>
    <row r="197" spans="1:14" ht="15.75" customHeight="1" x14ac:dyDescent="0.35">
      <c r="A197" s="7">
        <v>196</v>
      </c>
      <c r="B197" s="7" t="s">
        <v>279</v>
      </c>
      <c r="C197" s="9" t="str">
        <f>IFERROR(INDEX('Item Bank'!$D$2:$D$78,MATCH($B197,'Item Bank'!$A$2:$A$78,0)),"")</f>
        <v>What is the Sada grass used for in fandaano rituals?</v>
      </c>
      <c r="D197" s="9" t="str">
        <f>IFERROR(INDEX('Item Bank'!$B$2:$B$78,MATCH($B197,'Item Bank'!$A$2:$A$78,0)),"")</f>
        <v>Traditional Religion</v>
      </c>
      <c r="E197" s="7" t="s">
        <v>440</v>
      </c>
      <c r="F197" s="10">
        <v>46245</v>
      </c>
      <c r="G197" s="11" t="s">
        <v>639</v>
      </c>
      <c r="H197" s="12">
        <v>0</v>
      </c>
      <c r="I197" s="12" t="s">
        <v>444</v>
      </c>
      <c r="J197" s="12">
        <v>0</v>
      </c>
      <c r="K197" s="13"/>
      <c r="L197" s="12" t="s">
        <v>434</v>
      </c>
      <c r="M197" s="12"/>
      <c r="N197" s="11"/>
    </row>
    <row r="198" spans="1:14" ht="15.75" customHeight="1" x14ac:dyDescent="0.35">
      <c r="A198" s="7">
        <v>197</v>
      </c>
      <c r="B198" s="7" t="s">
        <v>283</v>
      </c>
      <c r="C198" s="9" t="str">
        <f>IFERROR(INDEX('Item Bank'!$D$2:$D$78,MATCH($B198,'Item Bank'!$A$2:$A$78,0)),"")</f>
        <v>What is Geeshsha in Kambaata cultural hospitality?</v>
      </c>
      <c r="D198" s="9" t="str">
        <f>IFERROR(INDEX('Item Bank'!$B$2:$B$78,MATCH($B198,'Item Bank'!$A$2:$A$78,0)),"")</f>
        <v>Food &amp; Drinks</v>
      </c>
      <c r="E198" s="7" t="s">
        <v>431</v>
      </c>
      <c r="F198" s="10">
        <v>46244</v>
      </c>
      <c r="G198" s="11" t="s">
        <v>640</v>
      </c>
      <c r="H198" s="12">
        <v>1</v>
      </c>
      <c r="I198" s="12" t="s">
        <v>442</v>
      </c>
      <c r="J198" s="12">
        <v>0</v>
      </c>
      <c r="K198" s="13"/>
      <c r="L198" s="12" t="s">
        <v>434</v>
      </c>
      <c r="M198" s="12"/>
      <c r="N198" s="11"/>
    </row>
    <row r="199" spans="1:14" ht="15.75" customHeight="1" x14ac:dyDescent="0.35">
      <c r="A199" s="7">
        <v>198</v>
      </c>
      <c r="B199" s="7" t="s">
        <v>283</v>
      </c>
      <c r="C199" s="9" t="str">
        <f>IFERROR(INDEX('Item Bank'!$D$2:$D$78,MATCH($B199,'Item Bank'!$A$2:$A$78,0)),"")</f>
        <v>What is Geeshsha in Kambaata cultural hospitality?</v>
      </c>
      <c r="D199" s="9" t="str">
        <f>IFERROR(INDEX('Item Bank'!$B$2:$B$78,MATCH($B199,'Item Bank'!$A$2:$A$78,0)),"")</f>
        <v>Food &amp; Drinks</v>
      </c>
      <c r="E199" s="7" t="s">
        <v>435</v>
      </c>
      <c r="F199" s="10">
        <v>46245</v>
      </c>
      <c r="G199" s="11" t="s">
        <v>641</v>
      </c>
      <c r="H199" s="12">
        <v>0</v>
      </c>
      <c r="I199" s="12" t="s">
        <v>448</v>
      </c>
      <c r="J199" s="12">
        <v>0</v>
      </c>
      <c r="K199" s="13"/>
      <c r="L199" s="12" t="s">
        <v>434</v>
      </c>
      <c r="M199" s="12"/>
      <c r="N199" s="11"/>
    </row>
    <row r="200" spans="1:14" ht="15.75" customHeight="1" x14ac:dyDescent="0.35">
      <c r="A200" s="7">
        <v>199</v>
      </c>
      <c r="B200" s="7" t="s">
        <v>283</v>
      </c>
      <c r="C200" s="9" t="str">
        <f>IFERROR(INDEX('Item Bank'!$D$2:$D$78,MATCH($B200,'Item Bank'!$A$2:$A$78,0)),"")</f>
        <v>What is Geeshsha in Kambaata cultural hospitality?</v>
      </c>
      <c r="D200" s="9" t="str">
        <f>IFERROR(INDEX('Item Bank'!$B$2:$B$78,MATCH($B200,'Item Bank'!$A$2:$A$78,0)),"")</f>
        <v>Food &amp; Drinks</v>
      </c>
      <c r="E200" s="7" t="s">
        <v>438</v>
      </c>
      <c r="F200" s="10">
        <v>46245</v>
      </c>
      <c r="G200" s="11" t="s">
        <v>642</v>
      </c>
      <c r="H200" s="12">
        <v>0</v>
      </c>
      <c r="I200" s="12" t="s">
        <v>444</v>
      </c>
      <c r="J200" s="12">
        <v>0</v>
      </c>
      <c r="K200" s="13"/>
      <c r="L200" s="12" t="s">
        <v>434</v>
      </c>
      <c r="M200" s="12"/>
      <c r="N200" s="11"/>
    </row>
    <row r="201" spans="1:14" ht="15.75" customHeight="1" x14ac:dyDescent="0.35">
      <c r="A201" s="7">
        <v>200</v>
      </c>
      <c r="B201" s="7" t="s">
        <v>283</v>
      </c>
      <c r="C201" s="9" t="str">
        <f>IFERROR(INDEX('Item Bank'!$D$2:$D$78,MATCH($B201,'Item Bank'!$A$2:$A$78,0)),"")</f>
        <v>What is Geeshsha in Kambaata cultural hospitality?</v>
      </c>
      <c r="D201" s="9" t="str">
        <f>IFERROR(INDEX('Item Bank'!$B$2:$B$78,MATCH($B201,'Item Bank'!$A$2:$A$78,0)),"")</f>
        <v>Food &amp; Drinks</v>
      </c>
      <c r="E201" s="7" t="s">
        <v>440</v>
      </c>
      <c r="F201" s="10">
        <v>46245</v>
      </c>
      <c r="G201" s="11" t="s">
        <v>643</v>
      </c>
      <c r="H201" s="12">
        <v>0</v>
      </c>
      <c r="I201" s="12" t="s">
        <v>444</v>
      </c>
      <c r="J201" s="12">
        <v>0</v>
      </c>
      <c r="K201" s="13"/>
      <c r="L201" s="12" t="s">
        <v>434</v>
      </c>
      <c r="M201" s="12"/>
      <c r="N201" s="11"/>
    </row>
    <row r="202" spans="1:14" ht="15.75" customHeight="1" x14ac:dyDescent="0.35">
      <c r="A202" s="7">
        <v>201</v>
      </c>
      <c r="B202" s="7" t="s">
        <v>289</v>
      </c>
      <c r="C202" s="9" t="str">
        <f>IFERROR(INDEX('Item Bank'!$D$2:$D$78,MATCH($B202,'Item Bank'!$A$2:$A$78,0)),"")</f>
        <v>What is the Ceecaara post-festival market?</v>
      </c>
      <c r="D202" s="9" t="str">
        <f>IFERROR(INDEX('Item Bank'!$B$2:$B$78,MATCH($B202,'Item Bank'!$A$2:$A$78,0)),"")</f>
        <v>Trade &amp; Exchange</v>
      </c>
      <c r="E202" s="7" t="s">
        <v>431</v>
      </c>
      <c r="F202" s="10">
        <v>46244</v>
      </c>
      <c r="G202" s="11" t="s">
        <v>644</v>
      </c>
      <c r="H202" s="12">
        <v>3</v>
      </c>
      <c r="I202" s="12" t="s">
        <v>444</v>
      </c>
      <c r="J202" s="12">
        <v>0</v>
      </c>
      <c r="K202" s="13"/>
      <c r="L202" s="12" t="s">
        <v>434</v>
      </c>
      <c r="M202" s="12"/>
      <c r="N202" s="11"/>
    </row>
    <row r="203" spans="1:14" ht="15.75" customHeight="1" x14ac:dyDescent="0.35">
      <c r="A203" s="7">
        <v>202</v>
      </c>
      <c r="B203" s="7" t="s">
        <v>289</v>
      </c>
      <c r="C203" s="9" t="str">
        <f>IFERROR(INDEX('Item Bank'!$D$2:$D$78,MATCH($B203,'Item Bank'!$A$2:$A$78,0)),"")</f>
        <v>What is the Ceecaara post-festival market?</v>
      </c>
      <c r="D203" s="9" t="str">
        <f>IFERROR(INDEX('Item Bank'!$B$2:$B$78,MATCH($B203,'Item Bank'!$A$2:$A$78,0)),"")</f>
        <v>Trade &amp; Exchange</v>
      </c>
      <c r="E203" s="7" t="s">
        <v>435</v>
      </c>
      <c r="F203" s="10">
        <v>46245</v>
      </c>
      <c r="G203" s="11" t="s">
        <v>645</v>
      </c>
      <c r="H203" s="12">
        <v>4</v>
      </c>
      <c r="I203" s="12" t="s">
        <v>444</v>
      </c>
      <c r="J203" s="12">
        <v>0</v>
      </c>
      <c r="K203" s="13"/>
      <c r="L203" s="12" t="s">
        <v>434</v>
      </c>
      <c r="M203" s="12"/>
      <c r="N203" s="11"/>
    </row>
    <row r="204" spans="1:14" ht="15.75" customHeight="1" x14ac:dyDescent="0.35">
      <c r="A204" s="7">
        <v>203</v>
      </c>
      <c r="B204" s="7" t="s">
        <v>289</v>
      </c>
      <c r="C204" s="9" t="str">
        <f>IFERROR(INDEX('Item Bank'!$D$2:$D$78,MATCH($B204,'Item Bank'!$A$2:$A$78,0)),"")</f>
        <v>What is the Ceecaara post-festival market?</v>
      </c>
      <c r="D204" s="9" t="str">
        <f>IFERROR(INDEX('Item Bank'!$B$2:$B$78,MATCH($B204,'Item Bank'!$A$2:$A$78,0)),"")</f>
        <v>Trade &amp; Exchange</v>
      </c>
      <c r="E204" s="7" t="s">
        <v>438</v>
      </c>
      <c r="F204" s="10">
        <v>46245</v>
      </c>
      <c r="G204" s="11" t="s">
        <v>646</v>
      </c>
      <c r="H204" s="12">
        <v>0</v>
      </c>
      <c r="I204" s="12" t="s">
        <v>444</v>
      </c>
      <c r="J204" s="12">
        <v>0</v>
      </c>
      <c r="K204" s="13"/>
      <c r="L204" s="12" t="s">
        <v>434</v>
      </c>
      <c r="M204" s="12"/>
      <c r="N204" s="11"/>
    </row>
    <row r="205" spans="1:14" ht="15.75" customHeight="1" x14ac:dyDescent="0.35">
      <c r="A205" s="7">
        <v>204</v>
      </c>
      <c r="B205" s="7" t="s">
        <v>289</v>
      </c>
      <c r="C205" s="9" t="str">
        <f>IFERROR(INDEX('Item Bank'!$D$2:$D$78,MATCH($B205,'Item Bank'!$A$2:$A$78,0)),"")</f>
        <v>What is the Ceecaara post-festival market?</v>
      </c>
      <c r="D205" s="9" t="str">
        <f>IFERROR(INDEX('Item Bank'!$B$2:$B$78,MATCH($B205,'Item Bank'!$A$2:$A$78,0)),"")</f>
        <v>Trade &amp; Exchange</v>
      </c>
      <c r="E205" s="7" t="s">
        <v>440</v>
      </c>
      <c r="F205" s="10">
        <v>46245</v>
      </c>
      <c r="G205" s="11" t="s">
        <v>647</v>
      </c>
      <c r="H205" s="12">
        <v>0</v>
      </c>
      <c r="I205" s="12" t="s">
        <v>444</v>
      </c>
      <c r="J205" s="12">
        <v>0</v>
      </c>
      <c r="K205" s="13"/>
      <c r="L205" s="12" t="s">
        <v>434</v>
      </c>
      <c r="M205" s="12"/>
      <c r="N205" s="11"/>
    </row>
    <row r="206" spans="1:14" ht="15.75" customHeight="1" x14ac:dyDescent="0.35">
      <c r="A206" s="7">
        <v>205</v>
      </c>
      <c r="B206" s="7" t="s">
        <v>295</v>
      </c>
      <c r="C206" s="9" t="str">
        <f>IFERROR(INDEX('Item Bank'!$D$2:$D$78,MATCH($B206,'Item Bank'!$A$2:$A$78,0)),"")</f>
        <v>What is the Kooráanch-u in a rural Kambaata household?</v>
      </c>
      <c r="D206" s="9" t="str">
        <f>IFERROR(INDEX('Item Bank'!$B$2:$B$78,MATCH($B206,'Item Bank'!$A$2:$A$78,0)),"")</f>
        <v>Material Culture</v>
      </c>
      <c r="E206" s="7" t="s">
        <v>431</v>
      </c>
      <c r="F206" s="10">
        <v>46244</v>
      </c>
      <c r="G206" s="11" t="s">
        <v>648</v>
      </c>
      <c r="H206" s="12">
        <v>0</v>
      </c>
      <c r="I206" s="12" t="s">
        <v>448</v>
      </c>
      <c r="J206" s="12">
        <v>0</v>
      </c>
      <c r="K206" s="13"/>
      <c r="L206" s="12" t="s">
        <v>434</v>
      </c>
      <c r="M206" s="12"/>
      <c r="N206" s="11"/>
    </row>
    <row r="207" spans="1:14" ht="15.75" customHeight="1" x14ac:dyDescent="0.35">
      <c r="A207" s="7">
        <v>206</v>
      </c>
      <c r="B207" s="7" t="s">
        <v>295</v>
      </c>
      <c r="C207" s="9" t="str">
        <f>IFERROR(INDEX('Item Bank'!$D$2:$D$78,MATCH($B207,'Item Bank'!$A$2:$A$78,0)),"")</f>
        <v>What is the Kooráanch-u in a rural Kambaata household?</v>
      </c>
      <c r="D207" s="9" t="str">
        <f>IFERROR(INDEX('Item Bank'!$B$2:$B$78,MATCH($B207,'Item Bank'!$A$2:$A$78,0)),"")</f>
        <v>Material Culture</v>
      </c>
      <c r="E207" s="7" t="s">
        <v>435</v>
      </c>
      <c r="F207" s="10">
        <v>46245</v>
      </c>
      <c r="G207" s="11" t="s">
        <v>649</v>
      </c>
      <c r="H207" s="12">
        <v>0</v>
      </c>
      <c r="I207" s="12" t="s">
        <v>448</v>
      </c>
      <c r="J207" s="12">
        <v>0</v>
      </c>
      <c r="K207" s="13"/>
      <c r="L207" s="12" t="s">
        <v>434</v>
      </c>
      <c r="M207" s="12"/>
      <c r="N207" s="11"/>
    </row>
    <row r="208" spans="1:14" ht="15.75" customHeight="1" x14ac:dyDescent="0.35">
      <c r="A208" s="7">
        <v>207</v>
      </c>
      <c r="B208" s="7" t="s">
        <v>295</v>
      </c>
      <c r="C208" s="9" t="str">
        <f>IFERROR(INDEX('Item Bank'!$D$2:$D$78,MATCH($B208,'Item Bank'!$A$2:$A$78,0)),"")</f>
        <v>What is the Kooráanch-u in a rural Kambaata household?</v>
      </c>
      <c r="D208" s="9" t="str">
        <f>IFERROR(INDEX('Item Bank'!$B$2:$B$78,MATCH($B208,'Item Bank'!$A$2:$A$78,0)),"")</f>
        <v>Material Culture</v>
      </c>
      <c r="E208" s="7" t="s">
        <v>438</v>
      </c>
      <c r="F208" s="10">
        <v>46245</v>
      </c>
      <c r="G208" s="11" t="s">
        <v>650</v>
      </c>
      <c r="H208" s="12">
        <v>0</v>
      </c>
      <c r="I208" s="12" t="s">
        <v>444</v>
      </c>
      <c r="J208" s="12">
        <v>0</v>
      </c>
      <c r="K208" s="13"/>
      <c r="L208" s="12" t="s">
        <v>434</v>
      </c>
      <c r="M208" s="12"/>
      <c r="N208" s="11"/>
    </row>
    <row r="209" spans="1:14" ht="15.75" customHeight="1" x14ac:dyDescent="0.35">
      <c r="A209" s="7">
        <v>208</v>
      </c>
      <c r="B209" s="7" t="s">
        <v>295</v>
      </c>
      <c r="C209" s="9" t="str">
        <f>IFERROR(INDEX('Item Bank'!$D$2:$D$78,MATCH($B209,'Item Bank'!$A$2:$A$78,0)),"")</f>
        <v>What is the Kooráanch-u in a rural Kambaata household?</v>
      </c>
      <c r="D209" s="9" t="str">
        <f>IFERROR(INDEX('Item Bank'!$B$2:$B$78,MATCH($B209,'Item Bank'!$A$2:$A$78,0)),"")</f>
        <v>Material Culture</v>
      </c>
      <c r="E209" s="7" t="s">
        <v>440</v>
      </c>
      <c r="F209" s="10">
        <v>46245</v>
      </c>
      <c r="G209" s="11" t="s">
        <v>651</v>
      </c>
      <c r="H209" s="12">
        <v>4</v>
      </c>
      <c r="I209" s="12" t="s">
        <v>444</v>
      </c>
      <c r="J209" s="12">
        <v>0</v>
      </c>
      <c r="K209" s="13"/>
      <c r="L209" s="12" t="s">
        <v>434</v>
      </c>
      <c r="M209" s="12"/>
      <c r="N209" s="11"/>
    </row>
    <row r="210" spans="1:14" ht="15.75" customHeight="1" x14ac:dyDescent="0.35">
      <c r="A210" s="7">
        <v>209</v>
      </c>
      <c r="B210" s="7" t="s">
        <v>301</v>
      </c>
      <c r="C210" s="9" t="str">
        <f>IFERROR(INDEX('Item Bank'!$D$2:$D$78,MATCH($B210,'Item Bank'!$A$2:$A$78,0)),"")</f>
        <v>What is the Mashsh-áachch in Kambaata kitchens?</v>
      </c>
      <c r="D210" s="9" t="str">
        <f>IFERROR(INDEX('Item Bank'!$B$2:$B$78,MATCH($B210,'Item Bank'!$A$2:$A$78,0)),"")</f>
        <v>Material Culture</v>
      </c>
      <c r="E210" s="7" t="s">
        <v>431</v>
      </c>
      <c r="F210" s="10">
        <v>46244</v>
      </c>
      <c r="G210" s="11" t="s">
        <v>652</v>
      </c>
      <c r="H210" s="12">
        <v>0</v>
      </c>
      <c r="I210" s="12" t="s">
        <v>448</v>
      </c>
      <c r="J210" s="12">
        <v>0</v>
      </c>
      <c r="K210" s="13"/>
      <c r="L210" s="12" t="s">
        <v>434</v>
      </c>
      <c r="M210" s="12"/>
      <c r="N210" s="11"/>
    </row>
    <row r="211" spans="1:14" ht="15.75" customHeight="1" x14ac:dyDescent="0.35">
      <c r="A211" s="7">
        <v>210</v>
      </c>
      <c r="B211" s="7" t="s">
        <v>301</v>
      </c>
      <c r="C211" s="9" t="str">
        <f>IFERROR(INDEX('Item Bank'!$D$2:$D$78,MATCH($B211,'Item Bank'!$A$2:$A$78,0)),"")</f>
        <v>What is the Mashsh-áachch in Kambaata kitchens?</v>
      </c>
      <c r="D211" s="9" t="str">
        <f>IFERROR(INDEX('Item Bank'!$B$2:$B$78,MATCH($B211,'Item Bank'!$A$2:$A$78,0)),"")</f>
        <v>Material Culture</v>
      </c>
      <c r="E211" s="7" t="s">
        <v>435</v>
      </c>
      <c r="F211" s="10">
        <v>46245</v>
      </c>
      <c r="G211" s="11" t="s">
        <v>653</v>
      </c>
      <c r="H211" s="12">
        <v>1</v>
      </c>
      <c r="I211" s="12" t="s">
        <v>448</v>
      </c>
      <c r="J211" s="12">
        <v>0</v>
      </c>
      <c r="K211" s="13"/>
      <c r="L211" s="12" t="s">
        <v>434</v>
      </c>
      <c r="M211" s="12"/>
      <c r="N211" s="11"/>
    </row>
    <row r="212" spans="1:14" ht="15.75" customHeight="1" x14ac:dyDescent="0.35">
      <c r="A212" s="7">
        <v>211</v>
      </c>
      <c r="B212" s="7" t="s">
        <v>301</v>
      </c>
      <c r="C212" s="9" t="str">
        <f>IFERROR(INDEX('Item Bank'!$D$2:$D$78,MATCH($B212,'Item Bank'!$A$2:$A$78,0)),"")</f>
        <v>What is the Mashsh-áachch in Kambaata kitchens?</v>
      </c>
      <c r="D212" s="9" t="str">
        <f>IFERROR(INDEX('Item Bank'!$B$2:$B$78,MATCH($B212,'Item Bank'!$A$2:$A$78,0)),"")</f>
        <v>Material Culture</v>
      </c>
      <c r="E212" s="7" t="s">
        <v>438</v>
      </c>
      <c r="F212" s="10">
        <v>46245</v>
      </c>
      <c r="G212" s="11" t="s">
        <v>654</v>
      </c>
      <c r="H212" s="12">
        <v>0</v>
      </c>
      <c r="I212" s="12" t="s">
        <v>444</v>
      </c>
      <c r="J212" s="12">
        <v>0</v>
      </c>
      <c r="K212" s="13"/>
      <c r="L212" s="12" t="s">
        <v>434</v>
      </c>
      <c r="M212" s="12"/>
      <c r="N212" s="11"/>
    </row>
    <row r="213" spans="1:14" ht="15.75" customHeight="1" x14ac:dyDescent="0.35">
      <c r="A213" s="7">
        <v>212</v>
      </c>
      <c r="B213" s="7" t="s">
        <v>301</v>
      </c>
      <c r="C213" s="9" t="str">
        <f>IFERROR(INDEX('Item Bank'!$D$2:$D$78,MATCH($B213,'Item Bank'!$A$2:$A$78,0)),"")</f>
        <v>What is the Mashsh-áachch in Kambaata kitchens?</v>
      </c>
      <c r="D213" s="9" t="str">
        <f>IFERROR(INDEX('Item Bank'!$B$2:$B$78,MATCH($B213,'Item Bank'!$A$2:$A$78,0)),"")</f>
        <v>Material Culture</v>
      </c>
      <c r="E213" s="7" t="s">
        <v>440</v>
      </c>
      <c r="F213" s="10">
        <v>46245</v>
      </c>
      <c r="G213" s="11" t="s">
        <v>655</v>
      </c>
      <c r="H213" s="12">
        <v>0</v>
      </c>
      <c r="I213" s="12" t="s">
        <v>444</v>
      </c>
      <c r="J213" s="12">
        <v>0</v>
      </c>
      <c r="K213" s="13"/>
      <c r="L213" s="12" t="s">
        <v>434</v>
      </c>
      <c r="M213" s="12"/>
      <c r="N213" s="11"/>
    </row>
    <row r="214" spans="1:14" ht="15.75" customHeight="1" x14ac:dyDescent="0.35">
      <c r="A214" s="7">
        <v>213</v>
      </c>
      <c r="B214" s="7" t="s">
        <v>306</v>
      </c>
      <c r="C214" s="9" t="str">
        <f>IFERROR(INDEX('Item Bank'!$D$2:$D$78,MATCH($B214,'Item Bank'!$A$2:$A$78,0)),"")</f>
        <v>What is Waasa in Kambaata agricultural subsistence?</v>
      </c>
      <c r="D214" s="9" t="str">
        <f>IFERROR(INDEX('Item Bank'!$B$2:$B$78,MATCH($B214,'Item Bank'!$A$2:$A$78,0)),"")</f>
        <v>Agriculture / Enset Culture</v>
      </c>
      <c r="E214" s="7" t="s">
        <v>431</v>
      </c>
      <c r="F214" s="10">
        <v>46244</v>
      </c>
      <c r="G214" s="11" t="s">
        <v>656</v>
      </c>
      <c r="H214" s="12">
        <v>0</v>
      </c>
      <c r="I214" s="12" t="s">
        <v>448</v>
      </c>
      <c r="J214" s="12">
        <v>0</v>
      </c>
      <c r="K214" s="13"/>
      <c r="L214" s="12" t="s">
        <v>434</v>
      </c>
      <c r="M214" s="12"/>
      <c r="N214" s="11"/>
    </row>
    <row r="215" spans="1:14" ht="15.75" customHeight="1" x14ac:dyDescent="0.35">
      <c r="A215" s="7">
        <v>214</v>
      </c>
      <c r="B215" s="7" t="s">
        <v>306</v>
      </c>
      <c r="C215" s="9" t="str">
        <f>IFERROR(INDEX('Item Bank'!$D$2:$D$78,MATCH($B215,'Item Bank'!$A$2:$A$78,0)),"")</f>
        <v>What is Waasa in Kambaata agricultural subsistence?</v>
      </c>
      <c r="D215" s="9" t="str">
        <f>IFERROR(INDEX('Item Bank'!$B$2:$B$78,MATCH($B215,'Item Bank'!$A$2:$A$78,0)),"")</f>
        <v>Agriculture / Enset Culture</v>
      </c>
      <c r="E215" s="7" t="s">
        <v>435</v>
      </c>
      <c r="F215" s="10">
        <v>46245</v>
      </c>
      <c r="G215" s="11" t="s">
        <v>657</v>
      </c>
      <c r="H215" s="12">
        <v>3</v>
      </c>
      <c r="I215" s="12" t="s">
        <v>442</v>
      </c>
      <c r="J215" s="12">
        <v>0</v>
      </c>
      <c r="K215" s="13"/>
      <c r="L215" s="12" t="s">
        <v>434</v>
      </c>
      <c r="M215" s="12"/>
      <c r="N215" s="11"/>
    </row>
    <row r="216" spans="1:14" ht="15.75" customHeight="1" x14ac:dyDescent="0.35">
      <c r="A216" s="7">
        <v>215</v>
      </c>
      <c r="B216" s="7" t="s">
        <v>306</v>
      </c>
      <c r="C216" s="9" t="str">
        <f>IFERROR(INDEX('Item Bank'!$D$2:$D$78,MATCH($B216,'Item Bank'!$A$2:$A$78,0)),"")</f>
        <v>What is Waasa in Kambaata agricultural subsistence?</v>
      </c>
      <c r="D216" s="9" t="str">
        <f>IFERROR(INDEX('Item Bank'!$B$2:$B$78,MATCH($B216,'Item Bank'!$A$2:$A$78,0)),"")</f>
        <v>Agriculture / Enset Culture</v>
      </c>
      <c r="E216" s="7" t="s">
        <v>438</v>
      </c>
      <c r="F216" s="10">
        <v>46245</v>
      </c>
      <c r="G216" s="11" t="s">
        <v>658</v>
      </c>
      <c r="H216" s="12">
        <v>0</v>
      </c>
      <c r="I216" s="12" t="s">
        <v>444</v>
      </c>
      <c r="J216" s="12">
        <v>0</v>
      </c>
      <c r="K216" s="13"/>
      <c r="L216" s="12" t="s">
        <v>434</v>
      </c>
      <c r="M216" s="12"/>
      <c r="N216" s="11"/>
    </row>
    <row r="217" spans="1:14" ht="15.75" customHeight="1" x14ac:dyDescent="0.35">
      <c r="A217" s="7">
        <v>216</v>
      </c>
      <c r="B217" s="7" t="s">
        <v>306</v>
      </c>
      <c r="C217" s="9" t="str">
        <f>IFERROR(INDEX('Item Bank'!$D$2:$D$78,MATCH($B217,'Item Bank'!$A$2:$A$78,0)),"")</f>
        <v>What is Waasa in Kambaata agricultural subsistence?</v>
      </c>
      <c r="D217" s="9" t="str">
        <f>IFERROR(INDEX('Item Bank'!$B$2:$B$78,MATCH($B217,'Item Bank'!$A$2:$A$78,0)),"")</f>
        <v>Agriculture / Enset Culture</v>
      </c>
      <c r="E217" s="7" t="s">
        <v>440</v>
      </c>
      <c r="F217" s="10">
        <v>46245</v>
      </c>
      <c r="G217" s="11" t="s">
        <v>659</v>
      </c>
      <c r="H217" s="12">
        <v>0</v>
      </c>
      <c r="I217" s="12" t="s">
        <v>444</v>
      </c>
      <c r="J217" s="12">
        <v>0</v>
      </c>
      <c r="K217" s="13"/>
      <c r="L217" s="12" t="s">
        <v>434</v>
      </c>
      <c r="M217" s="12"/>
      <c r="N217" s="11"/>
    </row>
    <row r="218" spans="1:14" ht="15.75" customHeight="1" x14ac:dyDescent="0.35">
      <c r="A218" s="7">
        <v>217</v>
      </c>
      <c r="B218" s="7" t="s">
        <v>312</v>
      </c>
      <c r="C218" s="9" t="str">
        <f>IFERROR(INDEX('Item Bank'!$D$2:$D$78,MATCH($B218,'Item Bank'!$A$2:$A$78,0)),"")</f>
        <v>Who is the Serecho (Abba Serecho) high priest?</v>
      </c>
      <c r="D218" s="9" t="str">
        <f>IFERROR(INDEX('Item Bank'!$B$2:$B$78,MATCH($B218,'Item Bank'!$A$2:$A$78,0)),"")</f>
        <v>Traditional Religion</v>
      </c>
      <c r="E218" s="7" t="s">
        <v>431</v>
      </c>
      <c r="F218" s="10">
        <v>46244</v>
      </c>
      <c r="G218" s="11" t="s">
        <v>660</v>
      </c>
      <c r="H218" s="12">
        <v>4</v>
      </c>
      <c r="I218" s="12" t="s">
        <v>444</v>
      </c>
      <c r="J218" s="12">
        <v>0</v>
      </c>
      <c r="K218" s="13"/>
      <c r="L218" s="12" t="s">
        <v>434</v>
      </c>
      <c r="M218" s="12"/>
      <c r="N218" s="11"/>
    </row>
    <row r="219" spans="1:14" ht="15.75" customHeight="1" x14ac:dyDescent="0.35">
      <c r="A219" s="7">
        <v>218</v>
      </c>
      <c r="B219" s="7" t="s">
        <v>312</v>
      </c>
      <c r="C219" s="9" t="str">
        <f>IFERROR(INDEX('Item Bank'!$D$2:$D$78,MATCH($B219,'Item Bank'!$A$2:$A$78,0)),"")</f>
        <v>Who is the Serecho (Abba Serecho) high priest?</v>
      </c>
      <c r="D219" s="9" t="str">
        <f>IFERROR(INDEX('Item Bank'!$B$2:$B$78,MATCH($B219,'Item Bank'!$A$2:$A$78,0)),"")</f>
        <v>Traditional Religion</v>
      </c>
      <c r="E219" s="7" t="s">
        <v>435</v>
      </c>
      <c r="F219" s="10">
        <v>46245</v>
      </c>
      <c r="G219" s="11" t="s">
        <v>661</v>
      </c>
      <c r="H219" s="12">
        <v>4</v>
      </c>
      <c r="I219" s="12" t="s">
        <v>444</v>
      </c>
      <c r="J219" s="12">
        <v>0</v>
      </c>
      <c r="K219" s="13"/>
      <c r="L219" s="12" t="s">
        <v>434</v>
      </c>
      <c r="M219" s="12"/>
      <c r="N219" s="11"/>
    </row>
    <row r="220" spans="1:14" ht="15.75" customHeight="1" x14ac:dyDescent="0.35">
      <c r="A220" s="7">
        <v>219</v>
      </c>
      <c r="B220" s="7" t="s">
        <v>312</v>
      </c>
      <c r="C220" s="9" t="str">
        <f>IFERROR(INDEX('Item Bank'!$D$2:$D$78,MATCH($B220,'Item Bank'!$A$2:$A$78,0)),"")</f>
        <v>Who is the Serecho (Abba Serecho) high priest?</v>
      </c>
      <c r="D220" s="9" t="str">
        <f>IFERROR(INDEX('Item Bank'!$B$2:$B$78,MATCH($B220,'Item Bank'!$A$2:$A$78,0)),"")</f>
        <v>Traditional Religion</v>
      </c>
      <c r="E220" s="7" t="s">
        <v>438</v>
      </c>
      <c r="F220" s="10">
        <v>46245</v>
      </c>
      <c r="G220" s="11" t="s">
        <v>662</v>
      </c>
      <c r="H220" s="12">
        <v>1</v>
      </c>
      <c r="I220" s="12" t="s">
        <v>448</v>
      </c>
      <c r="J220" s="12">
        <v>0</v>
      </c>
      <c r="K220" s="13"/>
      <c r="L220" s="12" t="s">
        <v>434</v>
      </c>
      <c r="M220" s="12"/>
      <c r="N220" s="11"/>
    </row>
    <row r="221" spans="1:14" ht="15.75" customHeight="1" x14ac:dyDescent="0.35">
      <c r="A221" s="7">
        <v>220</v>
      </c>
      <c r="B221" s="7" t="s">
        <v>312</v>
      </c>
      <c r="C221" s="9" t="str">
        <f>IFERROR(INDEX('Item Bank'!$D$2:$D$78,MATCH($B221,'Item Bank'!$A$2:$A$78,0)),"")</f>
        <v>Who is the Serecho (Abba Serecho) high priest?</v>
      </c>
      <c r="D221" s="9" t="str">
        <f>IFERROR(INDEX('Item Bank'!$B$2:$B$78,MATCH($B221,'Item Bank'!$A$2:$A$78,0)),"")</f>
        <v>Traditional Religion</v>
      </c>
      <c r="E221" s="7" t="s">
        <v>440</v>
      </c>
      <c r="F221" s="10">
        <v>46245</v>
      </c>
      <c r="G221" s="11" t="s">
        <v>663</v>
      </c>
      <c r="H221" s="12">
        <v>0</v>
      </c>
      <c r="I221" s="12" t="s">
        <v>448</v>
      </c>
      <c r="J221" s="12">
        <v>0</v>
      </c>
      <c r="K221" s="13"/>
      <c r="L221" s="12" t="s">
        <v>434</v>
      </c>
      <c r="M221" s="12"/>
      <c r="N221" s="11"/>
    </row>
    <row r="222" spans="1:14" ht="15.75" customHeight="1" x14ac:dyDescent="0.35">
      <c r="A222" s="7">
        <v>221</v>
      </c>
      <c r="B222" s="7" t="s">
        <v>317</v>
      </c>
      <c r="C222" s="9" t="str">
        <f>IFERROR(INDEX('Item Bank'!$D$2:$D$78,MATCH($B222,'Item Bank'!$A$2:$A$78,0)),"")</f>
        <v>What is the Mägänancho (Maganancho) high priest?</v>
      </c>
      <c r="D222" s="9" t="str">
        <f>IFERROR(INDEX('Item Bank'!$B$2:$B$78,MATCH($B222,'Item Bank'!$A$2:$A$78,0)),"")</f>
        <v>Traditional Religion</v>
      </c>
      <c r="E222" s="7" t="s">
        <v>431</v>
      </c>
      <c r="F222" s="10">
        <v>46244</v>
      </c>
      <c r="G222" s="11" t="s">
        <v>664</v>
      </c>
      <c r="H222" s="12">
        <v>4</v>
      </c>
      <c r="I222" s="12" t="s">
        <v>444</v>
      </c>
      <c r="J222" s="12">
        <v>0</v>
      </c>
      <c r="K222" s="13"/>
      <c r="L222" s="12" t="s">
        <v>434</v>
      </c>
      <c r="M222" s="12"/>
      <c r="N222" s="11"/>
    </row>
    <row r="223" spans="1:14" ht="15.75" customHeight="1" x14ac:dyDescent="0.35">
      <c r="A223" s="7">
        <v>222</v>
      </c>
      <c r="B223" s="7" t="s">
        <v>317</v>
      </c>
      <c r="C223" s="9" t="str">
        <f>IFERROR(INDEX('Item Bank'!$D$2:$D$78,MATCH($B223,'Item Bank'!$A$2:$A$78,0)),"")</f>
        <v>What is the Mägänancho (Maganancho) high priest?</v>
      </c>
      <c r="D223" s="9" t="str">
        <f>IFERROR(INDEX('Item Bank'!$B$2:$B$78,MATCH($B223,'Item Bank'!$A$2:$A$78,0)),"")</f>
        <v>Traditional Religion</v>
      </c>
      <c r="E223" s="7" t="s">
        <v>435</v>
      </c>
      <c r="F223" s="10">
        <v>46245</v>
      </c>
      <c r="G223" s="11" t="s">
        <v>665</v>
      </c>
      <c r="H223" s="12">
        <v>4</v>
      </c>
      <c r="I223" s="12" t="s">
        <v>444</v>
      </c>
      <c r="J223" s="12">
        <v>0</v>
      </c>
      <c r="K223" s="13"/>
      <c r="L223" s="12" t="s">
        <v>434</v>
      </c>
      <c r="M223" s="12"/>
      <c r="N223" s="11"/>
    </row>
    <row r="224" spans="1:14" ht="15.75" customHeight="1" x14ac:dyDescent="0.35">
      <c r="A224" s="7">
        <v>223</v>
      </c>
      <c r="B224" s="7" t="s">
        <v>317</v>
      </c>
      <c r="C224" s="9" t="str">
        <f>IFERROR(INDEX('Item Bank'!$D$2:$D$78,MATCH($B224,'Item Bank'!$A$2:$A$78,0)),"")</f>
        <v>What is the Mägänancho (Maganancho) high priest?</v>
      </c>
      <c r="D224" s="9" t="str">
        <f>IFERROR(INDEX('Item Bank'!$B$2:$B$78,MATCH($B224,'Item Bank'!$A$2:$A$78,0)),"")</f>
        <v>Traditional Religion</v>
      </c>
      <c r="E224" s="7" t="s">
        <v>438</v>
      </c>
      <c r="F224" s="10">
        <v>46245</v>
      </c>
      <c r="G224" s="11" t="s">
        <v>666</v>
      </c>
      <c r="H224" s="12">
        <v>0</v>
      </c>
      <c r="I224" s="12" t="s">
        <v>444</v>
      </c>
      <c r="J224" s="12">
        <v>0</v>
      </c>
      <c r="K224" s="13"/>
      <c r="L224" s="12" t="s">
        <v>434</v>
      </c>
      <c r="M224" s="12"/>
      <c r="N224" s="11"/>
    </row>
    <row r="225" spans="1:14" ht="15.75" customHeight="1" x14ac:dyDescent="0.35">
      <c r="A225" s="7">
        <v>224</v>
      </c>
      <c r="B225" s="7" t="s">
        <v>317</v>
      </c>
      <c r="C225" s="9" t="str">
        <f>IFERROR(INDEX('Item Bank'!$D$2:$D$78,MATCH($B225,'Item Bank'!$A$2:$A$78,0)),"")</f>
        <v>What is the Mägänancho (Maganancho) high priest?</v>
      </c>
      <c r="D225" s="9" t="str">
        <f>IFERROR(INDEX('Item Bank'!$B$2:$B$78,MATCH($B225,'Item Bank'!$A$2:$A$78,0)),"")</f>
        <v>Traditional Religion</v>
      </c>
      <c r="E225" s="7" t="s">
        <v>440</v>
      </c>
      <c r="F225" s="10">
        <v>46245</v>
      </c>
      <c r="G225" s="11" t="s">
        <v>667</v>
      </c>
      <c r="H225" s="12">
        <v>0</v>
      </c>
      <c r="I225" s="12" t="s">
        <v>444</v>
      </c>
      <c r="J225" s="12">
        <v>0</v>
      </c>
      <c r="K225" s="13"/>
      <c r="L225" s="12" t="s">
        <v>434</v>
      </c>
      <c r="M225" s="12"/>
      <c r="N225" s="11"/>
    </row>
    <row r="226" spans="1:14" ht="15.75" customHeight="1" x14ac:dyDescent="0.35">
      <c r="A226" s="7">
        <v>225</v>
      </c>
      <c r="B226" s="7" t="s">
        <v>321</v>
      </c>
      <c r="C226" s="9" t="str">
        <f>IFERROR(INDEX('Item Bank'!$D$2:$D$78,MATCH($B226,'Item Bank'!$A$2:$A$78,0)),"")</f>
        <v>Who is the Anjaancho in neighboring Hadiya traditional beliefs?</v>
      </c>
      <c r="D226" s="9" t="str">
        <f>IFERROR(INDEX('Item Bank'!$B$2:$B$78,MATCH($B226,'Item Bank'!$A$2:$A$78,0)),"")</f>
        <v>Traditional Religion</v>
      </c>
      <c r="E226" s="7" t="s">
        <v>431</v>
      </c>
      <c r="F226" s="10">
        <v>46244</v>
      </c>
      <c r="G226" s="11" t="s">
        <v>668</v>
      </c>
      <c r="H226" s="12">
        <v>3</v>
      </c>
      <c r="I226" s="12" t="s">
        <v>444</v>
      </c>
      <c r="J226" s="12">
        <v>0</v>
      </c>
      <c r="K226" s="13"/>
      <c r="L226" s="12" t="s">
        <v>434</v>
      </c>
      <c r="M226" s="12"/>
      <c r="N226" s="11"/>
    </row>
    <row r="227" spans="1:14" ht="15.75" customHeight="1" x14ac:dyDescent="0.35">
      <c r="A227" s="7">
        <v>226</v>
      </c>
      <c r="B227" s="7" t="s">
        <v>321</v>
      </c>
      <c r="C227" s="9" t="str">
        <f>IFERROR(INDEX('Item Bank'!$D$2:$D$78,MATCH($B227,'Item Bank'!$A$2:$A$78,0)),"")</f>
        <v>Who is the Anjaancho in neighboring Hadiya traditional beliefs?</v>
      </c>
      <c r="D227" s="9" t="str">
        <f>IFERROR(INDEX('Item Bank'!$B$2:$B$78,MATCH($B227,'Item Bank'!$A$2:$A$78,0)),"")</f>
        <v>Traditional Religion</v>
      </c>
      <c r="E227" s="7" t="s">
        <v>435</v>
      </c>
      <c r="F227" s="10">
        <v>46245</v>
      </c>
      <c r="G227" s="11" t="s">
        <v>669</v>
      </c>
      <c r="H227" s="12">
        <v>4</v>
      </c>
      <c r="I227" s="12" t="s">
        <v>444</v>
      </c>
      <c r="J227" s="12">
        <v>0</v>
      </c>
      <c r="K227" s="13"/>
      <c r="L227" s="12" t="s">
        <v>434</v>
      </c>
      <c r="M227" s="12"/>
      <c r="N227" s="11"/>
    </row>
    <row r="228" spans="1:14" ht="15.75" customHeight="1" x14ac:dyDescent="0.35">
      <c r="A228" s="7">
        <v>227</v>
      </c>
      <c r="B228" s="7" t="s">
        <v>321</v>
      </c>
      <c r="C228" s="9" t="str">
        <f>IFERROR(INDEX('Item Bank'!$D$2:$D$78,MATCH($B228,'Item Bank'!$A$2:$A$78,0)),"")</f>
        <v>Who is the Anjaancho in neighboring Hadiya traditional beliefs?</v>
      </c>
      <c r="D228" s="9" t="str">
        <f>IFERROR(INDEX('Item Bank'!$B$2:$B$78,MATCH($B228,'Item Bank'!$A$2:$A$78,0)),"")</f>
        <v>Traditional Religion</v>
      </c>
      <c r="E228" s="7" t="s">
        <v>438</v>
      </c>
      <c r="F228" s="10">
        <v>46245</v>
      </c>
      <c r="G228" s="11" t="s">
        <v>670</v>
      </c>
      <c r="H228" s="12">
        <v>0</v>
      </c>
      <c r="I228" s="12" t="s">
        <v>444</v>
      </c>
      <c r="J228" s="12">
        <v>0</v>
      </c>
      <c r="K228" s="13"/>
      <c r="L228" s="12" t="s">
        <v>434</v>
      </c>
      <c r="M228" s="12"/>
      <c r="N228" s="11"/>
    </row>
    <row r="229" spans="1:14" ht="15.75" customHeight="1" x14ac:dyDescent="0.35">
      <c r="A229" s="7">
        <v>228</v>
      </c>
      <c r="B229" s="7" t="s">
        <v>321</v>
      </c>
      <c r="C229" s="9" t="str">
        <f>IFERROR(INDEX('Item Bank'!$D$2:$D$78,MATCH($B229,'Item Bank'!$A$2:$A$78,0)),"")</f>
        <v>Who is the Anjaancho in neighboring Hadiya traditional beliefs?</v>
      </c>
      <c r="D229" s="9" t="str">
        <f>IFERROR(INDEX('Item Bank'!$B$2:$B$78,MATCH($B229,'Item Bank'!$A$2:$A$78,0)),"")</f>
        <v>Traditional Religion</v>
      </c>
      <c r="E229" s="7" t="s">
        <v>440</v>
      </c>
      <c r="F229" s="10">
        <v>46245</v>
      </c>
      <c r="G229" s="11" t="s">
        <v>671</v>
      </c>
      <c r="H229" s="12">
        <v>3</v>
      </c>
      <c r="I229" s="12" t="s">
        <v>442</v>
      </c>
      <c r="J229" s="12">
        <v>0</v>
      </c>
      <c r="K229" s="13"/>
      <c r="L229" s="12" t="s">
        <v>434</v>
      </c>
      <c r="M229" s="12"/>
      <c r="N229" s="11"/>
    </row>
    <row r="230" spans="1:14" ht="15.75" customHeight="1" x14ac:dyDescent="0.35">
      <c r="A230" s="7">
        <v>229</v>
      </c>
      <c r="B230" s="7" t="s">
        <v>326</v>
      </c>
      <c r="C230" s="9" t="str">
        <f>IFERROR(INDEX('Item Bank'!$D$2:$D$78,MATCH($B230,'Item Bank'!$A$2:$A$78,0)),"")</f>
        <v>Who are the Awanaano in the fandaano faith?</v>
      </c>
      <c r="D230" s="9" t="str">
        <f>IFERROR(INDEX('Item Bank'!$B$2:$B$78,MATCH($B230,'Item Bank'!$A$2:$A$78,0)),"")</f>
        <v>Traditional Religion</v>
      </c>
      <c r="E230" s="7" t="s">
        <v>431</v>
      </c>
      <c r="F230" s="10">
        <v>46244</v>
      </c>
      <c r="G230" s="11" t="s">
        <v>672</v>
      </c>
      <c r="H230" s="12">
        <v>1</v>
      </c>
      <c r="I230" s="12" t="s">
        <v>442</v>
      </c>
      <c r="J230" s="12">
        <v>0</v>
      </c>
      <c r="K230" s="13"/>
      <c r="L230" s="12" t="s">
        <v>434</v>
      </c>
      <c r="M230" s="12"/>
      <c r="N230" s="11"/>
    </row>
    <row r="231" spans="1:14" ht="15.75" customHeight="1" x14ac:dyDescent="0.35">
      <c r="A231" s="7">
        <v>230</v>
      </c>
      <c r="B231" s="7" t="s">
        <v>326</v>
      </c>
      <c r="C231" s="9" t="str">
        <f>IFERROR(INDEX('Item Bank'!$D$2:$D$78,MATCH($B231,'Item Bank'!$A$2:$A$78,0)),"")</f>
        <v>Who are the Awanaano in the fandaano faith?</v>
      </c>
      <c r="D231" s="9" t="str">
        <f>IFERROR(INDEX('Item Bank'!$B$2:$B$78,MATCH($B231,'Item Bank'!$A$2:$A$78,0)),"")</f>
        <v>Traditional Religion</v>
      </c>
      <c r="E231" s="7" t="s">
        <v>435</v>
      </c>
      <c r="F231" s="10">
        <v>46245</v>
      </c>
      <c r="G231" s="11" t="s">
        <v>673</v>
      </c>
      <c r="H231" s="12">
        <v>4</v>
      </c>
      <c r="I231" s="12" t="s">
        <v>444</v>
      </c>
      <c r="J231" s="12">
        <v>0</v>
      </c>
      <c r="K231" s="13"/>
      <c r="L231" s="12" t="s">
        <v>434</v>
      </c>
      <c r="M231" s="12"/>
      <c r="N231" s="11"/>
    </row>
    <row r="232" spans="1:14" ht="15.75" customHeight="1" x14ac:dyDescent="0.35">
      <c r="A232" s="7">
        <v>231</v>
      </c>
      <c r="B232" s="7" t="s">
        <v>326</v>
      </c>
      <c r="C232" s="9" t="str">
        <f>IFERROR(INDEX('Item Bank'!$D$2:$D$78,MATCH($B232,'Item Bank'!$A$2:$A$78,0)),"")</f>
        <v>Who are the Awanaano in the fandaano faith?</v>
      </c>
      <c r="D232" s="9" t="str">
        <f>IFERROR(INDEX('Item Bank'!$B$2:$B$78,MATCH($B232,'Item Bank'!$A$2:$A$78,0)),"")</f>
        <v>Traditional Religion</v>
      </c>
      <c r="E232" s="7" t="s">
        <v>438</v>
      </c>
      <c r="F232" s="10">
        <v>46245</v>
      </c>
      <c r="G232" s="11" t="s">
        <v>674</v>
      </c>
      <c r="H232" s="12">
        <v>0</v>
      </c>
      <c r="I232" s="12" t="s">
        <v>444</v>
      </c>
      <c r="J232" s="12">
        <v>0</v>
      </c>
      <c r="K232" s="13"/>
      <c r="L232" s="12" t="s">
        <v>434</v>
      </c>
      <c r="M232" s="12"/>
      <c r="N232" s="11"/>
    </row>
    <row r="233" spans="1:14" ht="15.75" customHeight="1" x14ac:dyDescent="0.35">
      <c r="A233" s="7">
        <v>232</v>
      </c>
      <c r="B233" s="7" t="s">
        <v>326</v>
      </c>
      <c r="C233" s="9" t="str">
        <f>IFERROR(INDEX('Item Bank'!$D$2:$D$78,MATCH($B233,'Item Bank'!$A$2:$A$78,0)),"")</f>
        <v>Who are the Awanaano in the fandaano faith?</v>
      </c>
      <c r="D233" s="9" t="str">
        <f>IFERROR(INDEX('Item Bank'!$B$2:$B$78,MATCH($B233,'Item Bank'!$A$2:$A$78,0)),"")</f>
        <v>Traditional Religion</v>
      </c>
      <c r="E233" s="7" t="s">
        <v>440</v>
      </c>
      <c r="F233" s="10">
        <v>46245</v>
      </c>
      <c r="G233" s="11" t="s">
        <v>675</v>
      </c>
      <c r="H233" s="12">
        <v>0</v>
      </c>
      <c r="I233" s="12" t="s">
        <v>442</v>
      </c>
      <c r="J233" s="12">
        <v>0</v>
      </c>
      <c r="K233" s="13"/>
      <c r="L233" s="12" t="s">
        <v>434</v>
      </c>
      <c r="M233" s="12"/>
      <c r="N233" s="11"/>
    </row>
    <row r="234" spans="1:14" ht="15.75" customHeight="1" x14ac:dyDescent="0.35">
      <c r="A234" s="7">
        <v>233</v>
      </c>
      <c r="B234" s="7" t="s">
        <v>330</v>
      </c>
      <c r="C234" s="9" t="str">
        <f>IFERROR(INDEX('Item Bank'!$D$2:$D$78,MATCH($B234,'Item Bank'!$A$2:$A$78,0)),"")</f>
        <v>What is the Ĉophisha grave ritual?</v>
      </c>
      <c r="D234" s="9" t="str">
        <f>IFERROR(INDEX('Item Bank'!$B$2:$B$78,MATCH($B234,'Item Bank'!$A$2:$A$78,0)),"")</f>
        <v>Traditional Religion</v>
      </c>
      <c r="E234" s="7" t="s">
        <v>431</v>
      </c>
      <c r="F234" s="10">
        <v>46244</v>
      </c>
      <c r="G234" s="11" t="s">
        <v>676</v>
      </c>
      <c r="H234" s="12">
        <v>2</v>
      </c>
      <c r="I234" s="12" t="s">
        <v>444</v>
      </c>
      <c r="J234" s="12">
        <v>0</v>
      </c>
      <c r="K234" s="13"/>
      <c r="L234" s="12" t="s">
        <v>434</v>
      </c>
      <c r="M234" s="12"/>
      <c r="N234" s="11"/>
    </row>
    <row r="235" spans="1:14" ht="15.75" customHeight="1" x14ac:dyDescent="0.35">
      <c r="A235" s="7">
        <v>234</v>
      </c>
      <c r="B235" s="7" t="s">
        <v>330</v>
      </c>
      <c r="C235" s="9" t="str">
        <f>IFERROR(INDEX('Item Bank'!$D$2:$D$78,MATCH($B235,'Item Bank'!$A$2:$A$78,0)),"")</f>
        <v>What is the Ĉophisha grave ritual?</v>
      </c>
      <c r="D235" s="9" t="str">
        <f>IFERROR(INDEX('Item Bank'!$B$2:$B$78,MATCH($B235,'Item Bank'!$A$2:$A$78,0)),"")</f>
        <v>Traditional Religion</v>
      </c>
      <c r="E235" s="7" t="s">
        <v>435</v>
      </c>
      <c r="F235" s="10">
        <v>46245</v>
      </c>
      <c r="G235" s="11" t="s">
        <v>677</v>
      </c>
      <c r="H235" s="12">
        <v>3</v>
      </c>
      <c r="I235" s="12" t="s">
        <v>442</v>
      </c>
      <c r="J235" s="12">
        <v>0</v>
      </c>
      <c r="K235" s="13"/>
      <c r="L235" s="12" t="s">
        <v>434</v>
      </c>
      <c r="M235" s="12"/>
      <c r="N235" s="11"/>
    </row>
    <row r="236" spans="1:14" ht="15.75" customHeight="1" x14ac:dyDescent="0.35">
      <c r="A236" s="7">
        <v>235</v>
      </c>
      <c r="B236" s="7" t="s">
        <v>330</v>
      </c>
      <c r="C236" s="9" t="str">
        <f>IFERROR(INDEX('Item Bank'!$D$2:$D$78,MATCH($B236,'Item Bank'!$A$2:$A$78,0)),"")</f>
        <v>What is the Ĉophisha grave ritual?</v>
      </c>
      <c r="D236" s="9" t="str">
        <f>IFERROR(INDEX('Item Bank'!$B$2:$B$78,MATCH($B236,'Item Bank'!$A$2:$A$78,0)),"")</f>
        <v>Traditional Religion</v>
      </c>
      <c r="E236" s="7" t="s">
        <v>438</v>
      </c>
      <c r="F236" s="10">
        <v>46245</v>
      </c>
      <c r="G236" s="11" t="s">
        <v>678</v>
      </c>
      <c r="H236" s="12">
        <v>0</v>
      </c>
      <c r="I236" s="12" t="s">
        <v>444</v>
      </c>
      <c r="J236" s="12">
        <v>0</v>
      </c>
      <c r="K236" s="13"/>
      <c r="L236" s="12" t="s">
        <v>434</v>
      </c>
      <c r="M236" s="12"/>
      <c r="N236" s="11"/>
    </row>
    <row r="237" spans="1:14" ht="15.75" customHeight="1" x14ac:dyDescent="0.35">
      <c r="A237" s="7">
        <v>236</v>
      </c>
      <c r="B237" s="7" t="s">
        <v>330</v>
      </c>
      <c r="C237" s="9" t="str">
        <f>IFERROR(INDEX('Item Bank'!$D$2:$D$78,MATCH($B237,'Item Bank'!$A$2:$A$78,0)),"")</f>
        <v>What is the Ĉophisha grave ritual?</v>
      </c>
      <c r="D237" s="9" t="str">
        <f>IFERROR(INDEX('Item Bank'!$B$2:$B$78,MATCH($B237,'Item Bank'!$A$2:$A$78,0)),"")</f>
        <v>Traditional Religion</v>
      </c>
      <c r="E237" s="7" t="s">
        <v>440</v>
      </c>
      <c r="F237" s="10">
        <v>46245</v>
      </c>
      <c r="G237" s="11" t="s">
        <v>679</v>
      </c>
      <c r="H237" s="12">
        <v>0</v>
      </c>
      <c r="I237" s="12" t="s">
        <v>444</v>
      </c>
      <c r="J237" s="12">
        <v>0</v>
      </c>
      <c r="K237" s="13"/>
      <c r="L237" s="12" t="s">
        <v>434</v>
      </c>
      <c r="M237" s="12"/>
      <c r="N237" s="11"/>
    </row>
    <row r="238" spans="1:14" ht="15.75" customHeight="1" x14ac:dyDescent="0.35">
      <c r="A238" s="7">
        <v>237</v>
      </c>
      <c r="B238" s="7" t="s">
        <v>335</v>
      </c>
      <c r="C238" s="9" t="str">
        <f>IFERROR(INDEX('Item Bank'!$D$2:$D$78,MATCH($B238,'Item Bank'!$A$2:$A$78,0)),"")</f>
        <v>What is the Boroodimma chanting praise ritual?</v>
      </c>
      <c r="D238" s="9" t="str">
        <f>IFERROR(INDEX('Item Bank'!$B$2:$B$78,MATCH($B238,'Item Bank'!$A$2:$A$78,0)),"")</f>
        <v>Traditional Religion</v>
      </c>
      <c r="E238" s="7" t="s">
        <v>431</v>
      </c>
      <c r="F238" s="10">
        <v>46244</v>
      </c>
      <c r="G238" s="11" t="s">
        <v>680</v>
      </c>
      <c r="H238" s="12">
        <v>2</v>
      </c>
      <c r="I238" s="12" t="s">
        <v>442</v>
      </c>
      <c r="J238" s="12">
        <v>0</v>
      </c>
      <c r="K238" s="13"/>
      <c r="L238" s="12" t="s">
        <v>434</v>
      </c>
      <c r="M238" s="12"/>
      <c r="N238" s="11"/>
    </row>
    <row r="239" spans="1:14" ht="15.75" customHeight="1" x14ac:dyDescent="0.35">
      <c r="A239" s="7">
        <v>238</v>
      </c>
      <c r="B239" s="7" t="s">
        <v>335</v>
      </c>
      <c r="C239" s="9" t="str">
        <f>IFERROR(INDEX('Item Bank'!$D$2:$D$78,MATCH($B239,'Item Bank'!$A$2:$A$78,0)),"")</f>
        <v>What is the Boroodimma chanting praise ritual?</v>
      </c>
      <c r="D239" s="9" t="str">
        <f>IFERROR(INDEX('Item Bank'!$B$2:$B$78,MATCH($B239,'Item Bank'!$A$2:$A$78,0)),"")</f>
        <v>Traditional Religion</v>
      </c>
      <c r="E239" s="7" t="s">
        <v>435</v>
      </c>
      <c r="F239" s="10">
        <v>46245</v>
      </c>
      <c r="G239" s="11" t="s">
        <v>681</v>
      </c>
      <c r="H239" s="12">
        <v>2</v>
      </c>
      <c r="I239" s="12" t="s">
        <v>442</v>
      </c>
      <c r="J239" s="12">
        <v>0</v>
      </c>
      <c r="K239" s="13"/>
      <c r="L239" s="12" t="s">
        <v>434</v>
      </c>
      <c r="M239" s="12"/>
      <c r="N239" s="11"/>
    </row>
    <row r="240" spans="1:14" ht="15.75" customHeight="1" x14ac:dyDescent="0.35">
      <c r="A240" s="7">
        <v>239</v>
      </c>
      <c r="B240" s="7" t="s">
        <v>335</v>
      </c>
      <c r="C240" s="9" t="str">
        <f>IFERROR(INDEX('Item Bank'!$D$2:$D$78,MATCH($B240,'Item Bank'!$A$2:$A$78,0)),"")</f>
        <v>What is the Boroodimma chanting praise ritual?</v>
      </c>
      <c r="D240" s="9" t="str">
        <f>IFERROR(INDEX('Item Bank'!$B$2:$B$78,MATCH($B240,'Item Bank'!$A$2:$A$78,0)),"")</f>
        <v>Traditional Religion</v>
      </c>
      <c r="E240" s="7" t="s">
        <v>438</v>
      </c>
      <c r="F240" s="10">
        <v>46245</v>
      </c>
      <c r="G240" s="11" t="s">
        <v>682</v>
      </c>
      <c r="H240" s="12">
        <v>0</v>
      </c>
      <c r="I240" s="12" t="s">
        <v>444</v>
      </c>
      <c r="J240" s="12">
        <v>0</v>
      </c>
      <c r="K240" s="13"/>
      <c r="L240" s="12" t="s">
        <v>434</v>
      </c>
      <c r="M240" s="12"/>
      <c r="N240" s="11"/>
    </row>
    <row r="241" spans="1:14" ht="15.75" customHeight="1" x14ac:dyDescent="0.35">
      <c r="A241" s="7">
        <v>240</v>
      </c>
      <c r="B241" s="7" t="s">
        <v>335</v>
      </c>
      <c r="C241" s="9" t="str">
        <f>IFERROR(INDEX('Item Bank'!$D$2:$D$78,MATCH($B241,'Item Bank'!$A$2:$A$78,0)),"")</f>
        <v>What is the Boroodimma chanting praise ritual?</v>
      </c>
      <c r="D241" s="9" t="str">
        <f>IFERROR(INDEX('Item Bank'!$B$2:$B$78,MATCH($B241,'Item Bank'!$A$2:$A$78,0)),"")</f>
        <v>Traditional Religion</v>
      </c>
      <c r="E241" s="7" t="s">
        <v>440</v>
      </c>
      <c r="F241" s="10">
        <v>46245</v>
      </c>
      <c r="G241" s="11" t="s">
        <v>683</v>
      </c>
      <c r="H241" s="12">
        <v>4</v>
      </c>
      <c r="I241" s="12" t="s">
        <v>444</v>
      </c>
      <c r="J241" s="12">
        <v>0</v>
      </c>
      <c r="K241" s="13"/>
      <c r="L241" s="12" t="s">
        <v>434</v>
      </c>
      <c r="M241" s="12"/>
      <c r="N241" s="11"/>
    </row>
    <row r="242" spans="1:14" ht="15.75" customHeight="1" x14ac:dyDescent="0.35">
      <c r="A242" s="7">
        <v>241</v>
      </c>
      <c r="B242" s="7" t="s">
        <v>339</v>
      </c>
      <c r="C242" s="9" t="str">
        <f>IFERROR(INDEX('Item Bank'!$D$2:$D$78,MATCH($B242,'Item Bank'!$A$2:$A$78,0)),"")</f>
        <v>What is the Xibaasima traditional prayer?</v>
      </c>
      <c r="D242" s="9" t="str">
        <f>IFERROR(INDEX('Item Bank'!$B$2:$B$78,MATCH($B242,'Item Bank'!$A$2:$A$78,0)),"")</f>
        <v>Traditional Religion</v>
      </c>
      <c r="E242" s="7" t="s">
        <v>431</v>
      </c>
      <c r="F242" s="10">
        <v>46244</v>
      </c>
      <c r="G242" s="11" t="s">
        <v>684</v>
      </c>
      <c r="H242" s="12">
        <v>2</v>
      </c>
      <c r="I242" s="12" t="s">
        <v>444</v>
      </c>
      <c r="J242" s="12">
        <v>0</v>
      </c>
      <c r="K242" s="13"/>
      <c r="L242" s="12" t="s">
        <v>434</v>
      </c>
      <c r="M242" s="12"/>
      <c r="N242" s="11"/>
    </row>
    <row r="243" spans="1:14" ht="15.75" customHeight="1" x14ac:dyDescent="0.35">
      <c r="A243" s="7">
        <v>242</v>
      </c>
      <c r="B243" s="7" t="s">
        <v>339</v>
      </c>
      <c r="C243" s="9" t="str">
        <f>IFERROR(INDEX('Item Bank'!$D$2:$D$78,MATCH($B243,'Item Bank'!$A$2:$A$78,0)),"")</f>
        <v>What is the Xibaasima traditional prayer?</v>
      </c>
      <c r="D243" s="9" t="str">
        <f>IFERROR(INDEX('Item Bank'!$B$2:$B$78,MATCH($B243,'Item Bank'!$A$2:$A$78,0)),"")</f>
        <v>Traditional Religion</v>
      </c>
      <c r="E243" s="7" t="s">
        <v>435</v>
      </c>
      <c r="F243" s="10">
        <v>46245</v>
      </c>
      <c r="G243" s="11" t="s">
        <v>685</v>
      </c>
      <c r="H243" s="12">
        <v>2</v>
      </c>
      <c r="I243" s="12" t="s">
        <v>442</v>
      </c>
      <c r="J243" s="12">
        <v>0</v>
      </c>
      <c r="K243" s="13"/>
      <c r="L243" s="12" t="s">
        <v>434</v>
      </c>
      <c r="M243" s="12"/>
      <c r="N243" s="11"/>
    </row>
    <row r="244" spans="1:14" ht="15.75" customHeight="1" x14ac:dyDescent="0.35">
      <c r="A244" s="7">
        <v>243</v>
      </c>
      <c r="B244" s="7" t="s">
        <v>339</v>
      </c>
      <c r="C244" s="9" t="str">
        <f>IFERROR(INDEX('Item Bank'!$D$2:$D$78,MATCH($B244,'Item Bank'!$A$2:$A$78,0)),"")</f>
        <v>What is the Xibaasima traditional prayer?</v>
      </c>
      <c r="D244" s="9" t="str">
        <f>IFERROR(INDEX('Item Bank'!$B$2:$B$78,MATCH($B244,'Item Bank'!$A$2:$A$78,0)),"")</f>
        <v>Traditional Religion</v>
      </c>
      <c r="E244" s="7" t="s">
        <v>438</v>
      </c>
      <c r="F244" s="10">
        <v>46245</v>
      </c>
      <c r="G244" s="11" t="s">
        <v>686</v>
      </c>
      <c r="H244" s="12">
        <v>0</v>
      </c>
      <c r="I244" s="12" t="s">
        <v>444</v>
      </c>
      <c r="J244" s="12">
        <v>0</v>
      </c>
      <c r="K244" s="13"/>
      <c r="L244" s="12" t="s">
        <v>434</v>
      </c>
      <c r="M244" s="12"/>
      <c r="N244" s="11"/>
    </row>
    <row r="245" spans="1:14" ht="15.75" customHeight="1" x14ac:dyDescent="0.35">
      <c r="A245" s="7">
        <v>244</v>
      </c>
      <c r="B245" s="7" t="s">
        <v>339</v>
      </c>
      <c r="C245" s="9" t="str">
        <f>IFERROR(INDEX('Item Bank'!$D$2:$D$78,MATCH($B245,'Item Bank'!$A$2:$A$78,0)),"")</f>
        <v>What is the Xibaasima traditional prayer?</v>
      </c>
      <c r="D245" s="9" t="str">
        <f>IFERROR(INDEX('Item Bank'!$B$2:$B$78,MATCH($B245,'Item Bank'!$A$2:$A$78,0)),"")</f>
        <v>Traditional Religion</v>
      </c>
      <c r="E245" s="7" t="s">
        <v>440</v>
      </c>
      <c r="F245" s="10">
        <v>46245</v>
      </c>
      <c r="G245" s="11" t="s">
        <v>687</v>
      </c>
      <c r="H245" s="12">
        <v>0</v>
      </c>
      <c r="I245" s="12" t="s">
        <v>444</v>
      </c>
      <c r="J245" s="12">
        <v>0</v>
      </c>
      <c r="K245" s="13"/>
      <c r="L245" s="12" t="s">
        <v>434</v>
      </c>
      <c r="M245" s="12"/>
      <c r="N245" s="11"/>
    </row>
    <row r="246" spans="1:14" ht="15.75" customHeight="1" x14ac:dyDescent="0.35">
      <c r="A246" s="7">
        <v>245</v>
      </c>
      <c r="B246" s="7" t="s">
        <v>343</v>
      </c>
      <c r="C246" s="9" t="str">
        <f>IFERROR(INDEX('Item Bank'!$D$2:$D$78,MATCH($B246,'Item Bank'!$A$2:$A$78,0)),"")</f>
        <v>Who is the Jaara personal protecting spirit in fandaano?</v>
      </c>
      <c r="D246" s="9" t="str">
        <f>IFERROR(INDEX('Item Bank'!$B$2:$B$78,MATCH($B246,'Item Bank'!$A$2:$A$78,0)),"")</f>
        <v>Traditional Religion</v>
      </c>
      <c r="E246" s="7" t="s">
        <v>431</v>
      </c>
      <c r="F246" s="10">
        <v>46244</v>
      </c>
      <c r="G246" s="11" t="s">
        <v>688</v>
      </c>
      <c r="H246" s="12">
        <v>4</v>
      </c>
      <c r="I246" s="12" t="s">
        <v>444</v>
      </c>
      <c r="J246" s="12">
        <v>0</v>
      </c>
      <c r="K246" s="13"/>
      <c r="L246" s="12" t="s">
        <v>434</v>
      </c>
      <c r="M246" s="12"/>
      <c r="N246" s="11"/>
    </row>
    <row r="247" spans="1:14" ht="15.75" customHeight="1" x14ac:dyDescent="0.35">
      <c r="A247" s="7">
        <v>246</v>
      </c>
      <c r="B247" s="7" t="s">
        <v>343</v>
      </c>
      <c r="C247" s="9" t="str">
        <f>IFERROR(INDEX('Item Bank'!$D$2:$D$78,MATCH($B247,'Item Bank'!$A$2:$A$78,0)),"")</f>
        <v>Who is the Jaara personal protecting spirit in fandaano?</v>
      </c>
      <c r="D247" s="9" t="str">
        <f>IFERROR(INDEX('Item Bank'!$B$2:$B$78,MATCH($B247,'Item Bank'!$A$2:$A$78,0)),"")</f>
        <v>Traditional Religion</v>
      </c>
      <c r="E247" s="7" t="s">
        <v>435</v>
      </c>
      <c r="F247" s="10">
        <v>46245</v>
      </c>
      <c r="G247" s="11" t="s">
        <v>689</v>
      </c>
      <c r="H247" s="12">
        <v>3</v>
      </c>
      <c r="I247" s="12" t="s">
        <v>442</v>
      </c>
      <c r="J247" s="12">
        <v>0</v>
      </c>
      <c r="K247" s="13"/>
      <c r="L247" s="12" t="s">
        <v>434</v>
      </c>
      <c r="M247" s="12"/>
      <c r="N247" s="11"/>
    </row>
    <row r="248" spans="1:14" ht="15.75" customHeight="1" x14ac:dyDescent="0.35">
      <c r="A248" s="7">
        <v>247</v>
      </c>
      <c r="B248" s="7" t="s">
        <v>343</v>
      </c>
      <c r="C248" s="9" t="str">
        <f>IFERROR(INDEX('Item Bank'!$D$2:$D$78,MATCH($B248,'Item Bank'!$A$2:$A$78,0)),"")</f>
        <v>Who is the Jaara personal protecting spirit in fandaano?</v>
      </c>
      <c r="D248" s="9" t="str">
        <f>IFERROR(INDEX('Item Bank'!$B$2:$B$78,MATCH($B248,'Item Bank'!$A$2:$A$78,0)),"")</f>
        <v>Traditional Religion</v>
      </c>
      <c r="E248" s="7" t="s">
        <v>438</v>
      </c>
      <c r="F248" s="10">
        <v>46245</v>
      </c>
      <c r="G248" s="11" t="s">
        <v>690</v>
      </c>
      <c r="H248" s="12">
        <v>0</v>
      </c>
      <c r="I248" s="12" t="s">
        <v>444</v>
      </c>
      <c r="J248" s="12">
        <v>0</v>
      </c>
      <c r="K248" s="13"/>
      <c r="L248" s="12" t="s">
        <v>434</v>
      </c>
      <c r="M248" s="12"/>
      <c r="N248" s="11"/>
    </row>
    <row r="249" spans="1:14" ht="15.75" customHeight="1" x14ac:dyDescent="0.35">
      <c r="A249" s="7">
        <v>248</v>
      </c>
      <c r="B249" s="7" t="s">
        <v>343</v>
      </c>
      <c r="C249" s="9" t="str">
        <f>IFERROR(INDEX('Item Bank'!$D$2:$D$78,MATCH($B249,'Item Bank'!$A$2:$A$78,0)),"")</f>
        <v>Who is the Jaara personal protecting spirit in fandaano?</v>
      </c>
      <c r="D249" s="9" t="str">
        <f>IFERROR(INDEX('Item Bank'!$B$2:$B$78,MATCH($B249,'Item Bank'!$A$2:$A$78,0)),"")</f>
        <v>Traditional Religion</v>
      </c>
      <c r="E249" s="7" t="s">
        <v>440</v>
      </c>
      <c r="F249" s="10">
        <v>46245</v>
      </c>
      <c r="G249" s="11" t="s">
        <v>691</v>
      </c>
      <c r="H249" s="12">
        <v>0</v>
      </c>
      <c r="I249" s="12" t="s">
        <v>444</v>
      </c>
      <c r="J249" s="12">
        <v>0</v>
      </c>
      <c r="K249" s="13"/>
      <c r="L249" s="12" t="s">
        <v>434</v>
      </c>
      <c r="M249" s="12"/>
      <c r="N249" s="11"/>
    </row>
    <row r="250" spans="1:14" ht="15.75" customHeight="1" x14ac:dyDescent="0.35">
      <c r="A250" s="7">
        <v>249</v>
      </c>
      <c r="B250" s="7" t="s">
        <v>347</v>
      </c>
      <c r="C250" s="9" t="str">
        <f>IFERROR(INDEX('Item Bank'!$D$2:$D$78,MATCH($B250,'Item Bank'!$A$2:$A$78,0)),"")</f>
        <v>What is the Woxxa (Wole) spirit in fandaano?</v>
      </c>
      <c r="D250" s="9" t="str">
        <f>IFERROR(INDEX('Item Bank'!$B$2:$B$78,MATCH($B250,'Item Bank'!$A$2:$A$78,0)),"")</f>
        <v>Traditional Religion</v>
      </c>
      <c r="E250" s="7" t="s">
        <v>431</v>
      </c>
      <c r="F250" s="10">
        <v>46244</v>
      </c>
      <c r="G250" s="11" t="s">
        <v>692</v>
      </c>
      <c r="H250" s="12">
        <v>0</v>
      </c>
      <c r="I250" s="12" t="s">
        <v>448</v>
      </c>
      <c r="J250" s="12">
        <v>0</v>
      </c>
      <c r="K250" s="13"/>
      <c r="L250" s="12" t="s">
        <v>434</v>
      </c>
      <c r="M250" s="12"/>
      <c r="N250" s="11"/>
    </row>
    <row r="251" spans="1:14" ht="15.75" customHeight="1" x14ac:dyDescent="0.35">
      <c r="A251" s="7">
        <v>250</v>
      </c>
      <c r="B251" s="7" t="s">
        <v>347</v>
      </c>
      <c r="C251" s="9" t="str">
        <f>IFERROR(INDEX('Item Bank'!$D$2:$D$78,MATCH($B251,'Item Bank'!$A$2:$A$78,0)),"")</f>
        <v>What is the Woxxa (Wole) spirit in fandaano?</v>
      </c>
      <c r="D251" s="9" t="str">
        <f>IFERROR(INDEX('Item Bank'!$B$2:$B$78,MATCH($B251,'Item Bank'!$A$2:$A$78,0)),"")</f>
        <v>Traditional Religion</v>
      </c>
      <c r="E251" s="7" t="s">
        <v>435</v>
      </c>
      <c r="F251" s="10">
        <v>46245</v>
      </c>
      <c r="G251" s="11" t="s">
        <v>693</v>
      </c>
      <c r="H251" s="12">
        <v>0</v>
      </c>
      <c r="I251" s="12" t="s">
        <v>448</v>
      </c>
      <c r="J251" s="12">
        <v>0</v>
      </c>
      <c r="K251" s="13"/>
      <c r="L251" s="12" t="s">
        <v>434</v>
      </c>
      <c r="M251" s="12"/>
      <c r="N251" s="11"/>
    </row>
    <row r="252" spans="1:14" ht="15.75" customHeight="1" x14ac:dyDescent="0.35">
      <c r="A252" s="7">
        <v>251</v>
      </c>
      <c r="B252" s="7" t="s">
        <v>347</v>
      </c>
      <c r="C252" s="9" t="str">
        <f>IFERROR(INDEX('Item Bank'!$D$2:$D$78,MATCH($B252,'Item Bank'!$A$2:$A$78,0)),"")</f>
        <v>What is the Woxxa (Wole) spirit in fandaano?</v>
      </c>
      <c r="D252" s="9" t="str">
        <f>IFERROR(INDEX('Item Bank'!$B$2:$B$78,MATCH($B252,'Item Bank'!$A$2:$A$78,0)),"")</f>
        <v>Traditional Religion</v>
      </c>
      <c r="E252" s="7" t="s">
        <v>438</v>
      </c>
      <c r="F252" s="10">
        <v>46245</v>
      </c>
      <c r="G252" s="11" t="s">
        <v>694</v>
      </c>
      <c r="H252" s="12">
        <v>0</v>
      </c>
      <c r="I252" s="12" t="s">
        <v>444</v>
      </c>
      <c r="J252" s="12">
        <v>0</v>
      </c>
      <c r="K252" s="13"/>
      <c r="L252" s="12" t="s">
        <v>434</v>
      </c>
      <c r="M252" s="12"/>
      <c r="N252" s="11"/>
    </row>
    <row r="253" spans="1:14" ht="15.75" customHeight="1" x14ac:dyDescent="0.35">
      <c r="A253" s="7">
        <v>252</v>
      </c>
      <c r="B253" s="7" t="s">
        <v>347</v>
      </c>
      <c r="C253" s="9" t="str">
        <f>IFERROR(INDEX('Item Bank'!$D$2:$D$78,MATCH($B253,'Item Bank'!$A$2:$A$78,0)),"")</f>
        <v>What is the Woxxa (Wole) spirit in fandaano?</v>
      </c>
      <c r="D253" s="9" t="str">
        <f>IFERROR(INDEX('Item Bank'!$B$2:$B$78,MATCH($B253,'Item Bank'!$A$2:$A$78,0)),"")</f>
        <v>Traditional Religion</v>
      </c>
      <c r="E253" s="7" t="s">
        <v>440</v>
      </c>
      <c r="F253" s="10">
        <v>46245</v>
      </c>
      <c r="G253" s="11" t="s">
        <v>695</v>
      </c>
      <c r="H253" s="12">
        <v>0</v>
      </c>
      <c r="I253" s="12" t="s">
        <v>444</v>
      </c>
      <c r="J253" s="12">
        <v>0</v>
      </c>
      <c r="K253" s="13"/>
      <c r="L253" s="12" t="s">
        <v>434</v>
      </c>
      <c r="M253" s="12"/>
      <c r="N253" s="11"/>
    </row>
    <row r="254" spans="1:14" ht="15.75" customHeight="1" x14ac:dyDescent="0.35">
      <c r="A254" s="7">
        <v>253</v>
      </c>
      <c r="B254" s="7" t="s">
        <v>351</v>
      </c>
      <c r="C254" s="9" t="str">
        <f>IFERROR(INDEX('Item Bank'!$D$2:$D$78,MATCH($B254,'Item Bank'!$A$2:$A$78,0)),"")</f>
        <v>What is the Wogana (Xibana) cattle counting ceremony?</v>
      </c>
      <c r="D254" s="9" t="str">
        <f>IFERROR(INDEX('Item Bank'!$B$2:$B$78,MATCH($B254,'Item Bank'!$A$2:$A$78,0)),"")</f>
        <v>Livestock Culture</v>
      </c>
      <c r="E254" s="7" t="s">
        <v>431</v>
      </c>
      <c r="F254" s="10">
        <v>46244</v>
      </c>
      <c r="G254" s="11" t="s">
        <v>696</v>
      </c>
      <c r="H254" s="12">
        <v>2</v>
      </c>
      <c r="I254" s="12" t="s">
        <v>444</v>
      </c>
      <c r="J254" s="12">
        <v>0</v>
      </c>
      <c r="K254" s="13"/>
      <c r="L254" s="12" t="s">
        <v>434</v>
      </c>
      <c r="M254" s="12"/>
      <c r="N254" s="11"/>
    </row>
    <row r="255" spans="1:14" ht="15.75" customHeight="1" x14ac:dyDescent="0.35">
      <c r="A255" s="7">
        <v>254</v>
      </c>
      <c r="B255" s="7" t="s">
        <v>351</v>
      </c>
      <c r="C255" s="9" t="str">
        <f>IFERROR(INDEX('Item Bank'!$D$2:$D$78,MATCH($B255,'Item Bank'!$A$2:$A$78,0)),"")</f>
        <v>What is the Wogana (Xibana) cattle counting ceremony?</v>
      </c>
      <c r="D255" s="9" t="str">
        <f>IFERROR(INDEX('Item Bank'!$B$2:$B$78,MATCH($B255,'Item Bank'!$A$2:$A$78,0)),"")</f>
        <v>Livestock Culture</v>
      </c>
      <c r="E255" s="7" t="s">
        <v>435</v>
      </c>
      <c r="F255" s="10">
        <v>46245</v>
      </c>
      <c r="G255" s="11" t="s">
        <v>697</v>
      </c>
      <c r="H255" s="12">
        <v>3</v>
      </c>
      <c r="I255" s="12" t="s">
        <v>444</v>
      </c>
      <c r="J255" s="12">
        <v>0</v>
      </c>
      <c r="K255" s="13"/>
      <c r="L255" s="12" t="s">
        <v>434</v>
      </c>
      <c r="M255" s="12"/>
      <c r="N255" s="11"/>
    </row>
    <row r="256" spans="1:14" ht="15.75" customHeight="1" x14ac:dyDescent="0.35">
      <c r="A256" s="7">
        <v>255</v>
      </c>
      <c r="B256" s="7" t="s">
        <v>351</v>
      </c>
      <c r="C256" s="9" t="str">
        <f>IFERROR(INDEX('Item Bank'!$D$2:$D$78,MATCH($B256,'Item Bank'!$A$2:$A$78,0)),"")</f>
        <v>What is the Wogana (Xibana) cattle counting ceremony?</v>
      </c>
      <c r="D256" s="9" t="str">
        <f>IFERROR(INDEX('Item Bank'!$B$2:$B$78,MATCH($B256,'Item Bank'!$A$2:$A$78,0)),"")</f>
        <v>Livestock Culture</v>
      </c>
      <c r="E256" s="7" t="s">
        <v>438</v>
      </c>
      <c r="F256" s="10">
        <v>46245</v>
      </c>
      <c r="G256" s="11" t="s">
        <v>698</v>
      </c>
      <c r="H256" s="12">
        <v>0</v>
      </c>
      <c r="I256" s="12" t="s">
        <v>444</v>
      </c>
      <c r="J256" s="12">
        <v>0</v>
      </c>
      <c r="K256" s="13"/>
      <c r="L256" s="12" t="s">
        <v>434</v>
      </c>
      <c r="M256" s="12"/>
      <c r="N256" s="11"/>
    </row>
    <row r="257" spans="1:14" ht="15.75" customHeight="1" x14ac:dyDescent="0.35">
      <c r="A257" s="7">
        <v>256</v>
      </c>
      <c r="B257" s="7" t="s">
        <v>351</v>
      </c>
      <c r="C257" s="9" t="str">
        <f>IFERROR(INDEX('Item Bank'!$D$2:$D$78,MATCH($B257,'Item Bank'!$A$2:$A$78,0)),"")</f>
        <v>What is the Wogana (Xibana) cattle counting ceremony?</v>
      </c>
      <c r="D257" s="9" t="str">
        <f>IFERROR(INDEX('Item Bank'!$B$2:$B$78,MATCH($B257,'Item Bank'!$A$2:$A$78,0)),"")</f>
        <v>Livestock Culture</v>
      </c>
      <c r="E257" s="7" t="s">
        <v>440</v>
      </c>
      <c r="F257" s="10">
        <v>46245</v>
      </c>
      <c r="G257" s="11" t="s">
        <v>699</v>
      </c>
      <c r="H257" s="12">
        <v>0</v>
      </c>
      <c r="I257" s="12" t="s">
        <v>444</v>
      </c>
      <c r="J257" s="12">
        <v>0</v>
      </c>
      <c r="K257" s="13"/>
      <c r="L257" s="12" t="s">
        <v>434</v>
      </c>
      <c r="M257" s="12"/>
      <c r="N257" s="11"/>
    </row>
    <row r="258" spans="1:14" ht="15.75" customHeight="1" x14ac:dyDescent="0.35">
      <c r="A258" s="7">
        <v>257</v>
      </c>
      <c r="B258" s="7" t="s">
        <v>356</v>
      </c>
      <c r="C258" s="9" t="str">
        <f>IFERROR(INDEX('Item Bank'!$D$2:$D$78,MATCH($B258,'Item Bank'!$A$2:$A$78,0)),"")</f>
        <v>What is the honorary title of Kumaamo?</v>
      </c>
      <c r="D258" s="9" t="str">
        <f>IFERROR(INDEX('Item Bank'!$B$2:$B$78,MATCH($B258,'Item Bank'!$A$2:$A$78,0)),"")</f>
        <v>Livestock Culture</v>
      </c>
      <c r="E258" s="7" t="s">
        <v>431</v>
      </c>
      <c r="F258" s="10">
        <v>46244</v>
      </c>
      <c r="G258" s="11" t="s">
        <v>700</v>
      </c>
      <c r="H258" s="12">
        <v>1</v>
      </c>
      <c r="I258" s="12" t="s">
        <v>442</v>
      </c>
      <c r="J258" s="12">
        <v>0</v>
      </c>
      <c r="K258" s="13"/>
      <c r="L258" s="12" t="s">
        <v>434</v>
      </c>
      <c r="M258" s="12"/>
      <c r="N258" s="11"/>
    </row>
    <row r="259" spans="1:14" ht="15.75" customHeight="1" x14ac:dyDescent="0.35">
      <c r="A259" s="7">
        <v>258</v>
      </c>
      <c r="B259" s="7" t="s">
        <v>356</v>
      </c>
      <c r="C259" s="9" t="str">
        <f>IFERROR(INDEX('Item Bank'!$D$2:$D$78,MATCH($B259,'Item Bank'!$A$2:$A$78,0)),"")</f>
        <v>What is the honorary title of Kumaamo?</v>
      </c>
      <c r="D259" s="9" t="str">
        <f>IFERROR(INDEX('Item Bank'!$B$2:$B$78,MATCH($B259,'Item Bank'!$A$2:$A$78,0)),"")</f>
        <v>Livestock Culture</v>
      </c>
      <c r="E259" s="7" t="s">
        <v>435</v>
      </c>
      <c r="F259" s="10">
        <v>46245</v>
      </c>
      <c r="G259" s="11" t="s">
        <v>701</v>
      </c>
      <c r="H259" s="12">
        <v>2</v>
      </c>
      <c r="I259" s="12" t="s">
        <v>442</v>
      </c>
      <c r="J259" s="12">
        <v>0</v>
      </c>
      <c r="K259" s="13"/>
      <c r="L259" s="12" t="s">
        <v>434</v>
      </c>
      <c r="M259" s="12"/>
      <c r="N259" s="11"/>
    </row>
    <row r="260" spans="1:14" ht="15.75" customHeight="1" x14ac:dyDescent="0.35">
      <c r="A260" s="7">
        <v>259</v>
      </c>
      <c r="B260" s="7" t="s">
        <v>356</v>
      </c>
      <c r="C260" s="9" t="str">
        <f>IFERROR(INDEX('Item Bank'!$D$2:$D$78,MATCH($B260,'Item Bank'!$A$2:$A$78,0)),"")</f>
        <v>What is the honorary title of Kumaamo?</v>
      </c>
      <c r="D260" s="9" t="str">
        <f>IFERROR(INDEX('Item Bank'!$B$2:$B$78,MATCH($B260,'Item Bank'!$A$2:$A$78,0)),"")</f>
        <v>Livestock Culture</v>
      </c>
      <c r="E260" s="7" t="s">
        <v>438</v>
      </c>
      <c r="F260" s="10">
        <v>46245</v>
      </c>
      <c r="G260" s="11" t="s">
        <v>702</v>
      </c>
      <c r="H260" s="12">
        <v>0</v>
      </c>
      <c r="I260" s="12" t="s">
        <v>444</v>
      </c>
      <c r="J260" s="12">
        <v>0</v>
      </c>
      <c r="K260" s="13"/>
      <c r="L260" s="12" t="s">
        <v>434</v>
      </c>
      <c r="M260" s="12"/>
      <c r="N260" s="11"/>
    </row>
    <row r="261" spans="1:14" ht="15.75" customHeight="1" x14ac:dyDescent="0.35">
      <c r="A261" s="7">
        <v>260</v>
      </c>
      <c r="B261" s="7" t="s">
        <v>356</v>
      </c>
      <c r="C261" s="9" t="str">
        <f>IFERROR(INDEX('Item Bank'!$D$2:$D$78,MATCH($B261,'Item Bank'!$A$2:$A$78,0)),"")</f>
        <v>What is the honorary title of Kumaamo?</v>
      </c>
      <c r="D261" s="9" t="str">
        <f>IFERROR(INDEX('Item Bank'!$B$2:$B$78,MATCH($B261,'Item Bank'!$A$2:$A$78,0)),"")</f>
        <v>Livestock Culture</v>
      </c>
      <c r="E261" s="7" t="s">
        <v>440</v>
      </c>
      <c r="F261" s="10">
        <v>46245</v>
      </c>
      <c r="G261" s="11" t="s">
        <v>703</v>
      </c>
      <c r="H261" s="12">
        <v>0</v>
      </c>
      <c r="I261" s="12" t="s">
        <v>444</v>
      </c>
      <c r="J261" s="12">
        <v>0</v>
      </c>
      <c r="K261" s="13"/>
      <c r="L261" s="12" t="s">
        <v>434</v>
      </c>
      <c r="M261" s="12"/>
      <c r="N261" s="11"/>
    </row>
    <row r="262" spans="1:14" ht="15.75" customHeight="1" x14ac:dyDescent="0.35">
      <c r="A262" s="7">
        <v>261</v>
      </c>
      <c r="B262" s="7" t="s">
        <v>361</v>
      </c>
      <c r="C262" s="9" t="str">
        <f>IFERROR(INDEX('Item Bank'!$D$2:$D$78,MATCH($B262,'Item Bank'!$A$2:$A$78,0)),"")</f>
        <v>Who is the Lassancho (Lessaancho) in Kambaata funerary custom?</v>
      </c>
      <c r="D262" s="9" t="str">
        <f>IFERROR(INDEX('Item Bank'!$B$2:$B$78,MATCH($B262,'Item Bank'!$A$2:$A$78,0)),"")</f>
        <v>Funerary Rites</v>
      </c>
      <c r="E262" s="7" t="s">
        <v>431</v>
      </c>
      <c r="F262" s="10">
        <v>46244</v>
      </c>
      <c r="G262" s="11" t="s">
        <v>704</v>
      </c>
      <c r="H262" s="12">
        <v>1</v>
      </c>
      <c r="I262" s="12" t="s">
        <v>442</v>
      </c>
      <c r="J262" s="12">
        <v>0</v>
      </c>
      <c r="K262" s="13"/>
      <c r="L262" s="12" t="s">
        <v>434</v>
      </c>
      <c r="M262" s="12"/>
      <c r="N262" s="11"/>
    </row>
    <row r="263" spans="1:14" ht="15.75" customHeight="1" x14ac:dyDescent="0.35">
      <c r="A263" s="7">
        <v>262</v>
      </c>
      <c r="B263" s="7" t="s">
        <v>361</v>
      </c>
      <c r="C263" s="9" t="str">
        <f>IFERROR(INDEX('Item Bank'!$D$2:$D$78,MATCH($B263,'Item Bank'!$A$2:$A$78,0)),"")</f>
        <v>Who is the Lassancho (Lessaancho) in Kambaata funerary custom?</v>
      </c>
      <c r="D263" s="9" t="str">
        <f>IFERROR(INDEX('Item Bank'!$B$2:$B$78,MATCH($B263,'Item Bank'!$A$2:$A$78,0)),"")</f>
        <v>Funerary Rites</v>
      </c>
      <c r="E263" s="7" t="s">
        <v>435</v>
      </c>
      <c r="F263" s="10">
        <v>46245</v>
      </c>
      <c r="G263" s="11" t="s">
        <v>705</v>
      </c>
      <c r="H263" s="12">
        <v>3</v>
      </c>
      <c r="I263" s="12" t="s">
        <v>444</v>
      </c>
      <c r="J263" s="12">
        <v>0</v>
      </c>
      <c r="K263" s="13"/>
      <c r="L263" s="12" t="s">
        <v>434</v>
      </c>
      <c r="M263" s="12"/>
      <c r="N263" s="11"/>
    </row>
    <row r="264" spans="1:14" ht="15.75" customHeight="1" x14ac:dyDescent="0.35">
      <c r="A264" s="7">
        <v>263</v>
      </c>
      <c r="B264" s="7" t="s">
        <v>361</v>
      </c>
      <c r="C264" s="9" t="str">
        <f>IFERROR(INDEX('Item Bank'!$D$2:$D$78,MATCH($B264,'Item Bank'!$A$2:$A$78,0)),"")</f>
        <v>Who is the Lassancho (Lessaancho) in Kambaata funerary custom?</v>
      </c>
      <c r="D264" s="9" t="str">
        <f>IFERROR(INDEX('Item Bank'!$B$2:$B$78,MATCH($B264,'Item Bank'!$A$2:$A$78,0)),"")</f>
        <v>Funerary Rites</v>
      </c>
      <c r="E264" s="7" t="s">
        <v>438</v>
      </c>
      <c r="F264" s="10">
        <v>46245</v>
      </c>
      <c r="G264" s="11" t="s">
        <v>706</v>
      </c>
      <c r="H264" s="12">
        <v>0</v>
      </c>
      <c r="I264" s="12" t="s">
        <v>444</v>
      </c>
      <c r="J264" s="12">
        <v>0</v>
      </c>
      <c r="K264" s="13"/>
      <c r="L264" s="12" t="s">
        <v>434</v>
      </c>
      <c r="M264" s="12"/>
      <c r="N264" s="11"/>
    </row>
    <row r="265" spans="1:14" ht="15.75" customHeight="1" x14ac:dyDescent="0.35">
      <c r="A265" s="7">
        <v>264</v>
      </c>
      <c r="B265" s="7" t="s">
        <v>361</v>
      </c>
      <c r="C265" s="9" t="str">
        <f>IFERROR(INDEX('Item Bank'!$D$2:$D$78,MATCH($B265,'Item Bank'!$A$2:$A$78,0)),"")</f>
        <v>Who is the Lassancho (Lessaancho) in Kambaata funerary custom?</v>
      </c>
      <c r="D265" s="9" t="str">
        <f>IFERROR(INDEX('Item Bank'!$B$2:$B$78,MATCH($B265,'Item Bank'!$A$2:$A$78,0)),"")</f>
        <v>Funerary Rites</v>
      </c>
      <c r="E265" s="7" t="s">
        <v>440</v>
      </c>
      <c r="F265" s="10">
        <v>46245</v>
      </c>
      <c r="G265" s="11" t="s">
        <v>707</v>
      </c>
      <c r="H265" s="12">
        <v>0</v>
      </c>
      <c r="I265" s="12" t="s">
        <v>444</v>
      </c>
      <c r="J265" s="12">
        <v>0</v>
      </c>
      <c r="K265" s="13"/>
      <c r="L265" s="12" t="s">
        <v>434</v>
      </c>
      <c r="M265" s="12"/>
      <c r="N265" s="11"/>
    </row>
    <row r="266" spans="1:14" ht="15.75" customHeight="1" x14ac:dyDescent="0.35">
      <c r="A266" s="7">
        <v>265</v>
      </c>
      <c r="B266" s="7" t="s">
        <v>366</v>
      </c>
      <c r="C266" s="9" t="str">
        <f>IFERROR(INDEX('Item Bank'!$D$2:$D$78,MATCH($B266,'Item Bank'!$A$2:$A$78,0)),"")</f>
        <v>What is the Farsanno horse riding treat?</v>
      </c>
      <c r="D266" s="9" t="str">
        <f>IFERROR(INDEX('Item Bank'!$B$2:$B$78,MATCH($B266,'Item Bank'!$A$2:$A$78,0)),"")</f>
        <v>Funerary Rites</v>
      </c>
      <c r="E266" s="7" t="s">
        <v>431</v>
      </c>
      <c r="F266" s="10">
        <v>46244</v>
      </c>
      <c r="G266" s="11" t="s">
        <v>708</v>
      </c>
      <c r="H266" s="12">
        <v>1</v>
      </c>
      <c r="I266" s="12" t="s">
        <v>442</v>
      </c>
      <c r="J266" s="12">
        <v>0</v>
      </c>
      <c r="K266" s="13"/>
      <c r="L266" s="12" t="s">
        <v>434</v>
      </c>
      <c r="M266" s="12"/>
      <c r="N266" s="11"/>
    </row>
    <row r="267" spans="1:14" ht="15.75" customHeight="1" x14ac:dyDescent="0.35">
      <c r="A267" s="7">
        <v>266</v>
      </c>
      <c r="B267" s="7" t="s">
        <v>366</v>
      </c>
      <c r="C267" s="9" t="str">
        <f>IFERROR(INDEX('Item Bank'!$D$2:$D$78,MATCH($B267,'Item Bank'!$A$2:$A$78,0)),"")</f>
        <v>What is the Farsanno horse riding treat?</v>
      </c>
      <c r="D267" s="9" t="str">
        <f>IFERROR(INDEX('Item Bank'!$B$2:$B$78,MATCH($B267,'Item Bank'!$A$2:$A$78,0)),"")</f>
        <v>Funerary Rites</v>
      </c>
      <c r="E267" s="7" t="s">
        <v>435</v>
      </c>
      <c r="F267" s="10">
        <v>46245</v>
      </c>
      <c r="G267" s="11" t="s">
        <v>709</v>
      </c>
      <c r="H267" s="12">
        <v>1</v>
      </c>
      <c r="I267" s="12" t="s">
        <v>448</v>
      </c>
      <c r="J267" s="12">
        <v>1</v>
      </c>
      <c r="K267" s="13" t="s">
        <v>710</v>
      </c>
      <c r="L267" s="12" t="s">
        <v>434</v>
      </c>
      <c r="M267" s="12"/>
      <c r="N267" s="11"/>
    </row>
    <row r="268" spans="1:14" ht="15.75" customHeight="1" x14ac:dyDescent="0.35">
      <c r="A268" s="7">
        <v>267</v>
      </c>
      <c r="B268" s="7" t="s">
        <v>366</v>
      </c>
      <c r="C268" s="9" t="str">
        <f>IFERROR(INDEX('Item Bank'!$D$2:$D$78,MATCH($B268,'Item Bank'!$A$2:$A$78,0)),"")</f>
        <v>What is the Farsanno horse riding treat?</v>
      </c>
      <c r="D268" s="9" t="str">
        <f>IFERROR(INDEX('Item Bank'!$B$2:$B$78,MATCH($B268,'Item Bank'!$A$2:$A$78,0)),"")</f>
        <v>Funerary Rites</v>
      </c>
      <c r="E268" s="7" t="s">
        <v>438</v>
      </c>
      <c r="F268" s="10">
        <v>46245</v>
      </c>
      <c r="G268" s="11" t="s">
        <v>711</v>
      </c>
      <c r="H268" s="12">
        <v>0</v>
      </c>
      <c r="I268" s="12" t="s">
        <v>444</v>
      </c>
      <c r="J268" s="12">
        <v>0</v>
      </c>
      <c r="K268" s="13"/>
      <c r="L268" s="12" t="s">
        <v>434</v>
      </c>
      <c r="M268" s="12"/>
      <c r="N268" s="11"/>
    </row>
    <row r="269" spans="1:14" ht="15.75" customHeight="1" x14ac:dyDescent="0.35">
      <c r="A269" s="7">
        <v>268</v>
      </c>
      <c r="B269" s="7" t="s">
        <v>366</v>
      </c>
      <c r="C269" s="9" t="str">
        <f>IFERROR(INDEX('Item Bank'!$D$2:$D$78,MATCH($B269,'Item Bank'!$A$2:$A$78,0)),"")</f>
        <v>What is the Farsanno horse riding treat?</v>
      </c>
      <c r="D269" s="9" t="str">
        <f>IFERROR(INDEX('Item Bank'!$B$2:$B$78,MATCH($B269,'Item Bank'!$A$2:$A$78,0)),"")</f>
        <v>Funerary Rites</v>
      </c>
      <c r="E269" s="7" t="s">
        <v>440</v>
      </c>
      <c r="F269" s="10">
        <v>46245</v>
      </c>
      <c r="G269" s="11" t="s">
        <v>712</v>
      </c>
      <c r="H269" s="12">
        <v>0</v>
      </c>
      <c r="I269" s="12" t="s">
        <v>444</v>
      </c>
      <c r="J269" s="12">
        <v>0</v>
      </c>
      <c r="K269" s="13"/>
      <c r="L269" s="12" t="s">
        <v>434</v>
      </c>
      <c r="M269" s="12"/>
      <c r="N269" s="11"/>
    </row>
    <row r="270" spans="1:14" ht="15.75" customHeight="1" x14ac:dyDescent="0.35">
      <c r="A270" s="7">
        <v>269</v>
      </c>
      <c r="B270" s="7" t="s">
        <v>371</v>
      </c>
      <c r="C270" s="9" t="str">
        <f>IFERROR(INDEX('Item Bank'!$D$2:$D$78,MATCH($B270,'Item Bank'!$A$2:$A$78,0)),"")</f>
        <v>What is Olla (Oola) in traditional Kambaata history?</v>
      </c>
      <c r="D270" s="9" t="str">
        <f>IFERROR(INDEX('Item Bank'!$B$2:$B$78,MATCH($B270,'Item Bank'!$A$2:$A$78,0)),"")</f>
        <v>War &amp; Conflict</v>
      </c>
      <c r="E270" s="7" t="s">
        <v>431</v>
      </c>
      <c r="F270" s="10">
        <v>46244</v>
      </c>
      <c r="G270" s="11" t="s">
        <v>713</v>
      </c>
      <c r="H270" s="12">
        <v>0</v>
      </c>
      <c r="I270" s="12" t="s">
        <v>448</v>
      </c>
      <c r="J270" s="12">
        <v>0</v>
      </c>
      <c r="K270" s="13"/>
      <c r="L270" s="12" t="s">
        <v>434</v>
      </c>
      <c r="M270" s="12"/>
      <c r="N270" s="11"/>
    </row>
    <row r="271" spans="1:14" ht="15.75" customHeight="1" x14ac:dyDescent="0.35">
      <c r="A271" s="7">
        <v>270</v>
      </c>
      <c r="B271" s="7" t="s">
        <v>371</v>
      </c>
      <c r="C271" s="9" t="str">
        <f>IFERROR(INDEX('Item Bank'!$D$2:$D$78,MATCH($B271,'Item Bank'!$A$2:$A$78,0)),"")</f>
        <v>What is Olla (Oola) in traditional Kambaata history?</v>
      </c>
      <c r="D271" s="9" t="str">
        <f>IFERROR(INDEX('Item Bank'!$B$2:$B$78,MATCH($B271,'Item Bank'!$A$2:$A$78,0)),"")</f>
        <v>War &amp; Conflict</v>
      </c>
      <c r="E271" s="7" t="s">
        <v>435</v>
      </c>
      <c r="F271" s="10">
        <v>46245</v>
      </c>
      <c r="G271" s="11" t="s">
        <v>714</v>
      </c>
      <c r="H271" s="12">
        <v>0</v>
      </c>
      <c r="I271" s="12" t="s">
        <v>448</v>
      </c>
      <c r="J271" s="12">
        <v>0</v>
      </c>
      <c r="K271" s="13"/>
      <c r="L271" s="12" t="s">
        <v>434</v>
      </c>
      <c r="M271" s="12"/>
      <c r="N271" s="11"/>
    </row>
    <row r="272" spans="1:14" ht="15.75" customHeight="1" x14ac:dyDescent="0.35">
      <c r="A272" s="7">
        <v>271</v>
      </c>
      <c r="B272" s="7" t="s">
        <v>371</v>
      </c>
      <c r="C272" s="9" t="str">
        <f>IFERROR(INDEX('Item Bank'!$D$2:$D$78,MATCH($B272,'Item Bank'!$A$2:$A$78,0)),"")</f>
        <v>What is Olla (Oola) in traditional Kambaata history?</v>
      </c>
      <c r="D272" s="9" t="str">
        <f>IFERROR(INDEX('Item Bank'!$B$2:$B$78,MATCH($B272,'Item Bank'!$A$2:$A$78,0)),"")</f>
        <v>War &amp; Conflict</v>
      </c>
      <c r="E272" s="7" t="s">
        <v>438</v>
      </c>
      <c r="F272" s="10">
        <v>46245</v>
      </c>
      <c r="G272" s="11" t="s">
        <v>715</v>
      </c>
      <c r="H272" s="12">
        <v>0</v>
      </c>
      <c r="I272" s="12" t="s">
        <v>444</v>
      </c>
      <c r="J272" s="12">
        <v>0</v>
      </c>
      <c r="K272" s="13"/>
      <c r="L272" s="12" t="s">
        <v>434</v>
      </c>
      <c r="M272" s="12"/>
      <c r="N272" s="11"/>
    </row>
    <row r="273" spans="1:14" ht="15.75" customHeight="1" x14ac:dyDescent="0.35">
      <c r="A273" s="7">
        <v>272</v>
      </c>
      <c r="B273" s="7" t="s">
        <v>371</v>
      </c>
      <c r="C273" s="9" t="str">
        <f>IFERROR(INDEX('Item Bank'!$D$2:$D$78,MATCH($B273,'Item Bank'!$A$2:$A$78,0)),"")</f>
        <v>What is Olla (Oola) in traditional Kambaata history?</v>
      </c>
      <c r="D273" s="9" t="str">
        <f>IFERROR(INDEX('Item Bank'!$B$2:$B$78,MATCH($B273,'Item Bank'!$A$2:$A$78,0)),"")</f>
        <v>War &amp; Conflict</v>
      </c>
      <c r="E273" s="7" t="s">
        <v>440</v>
      </c>
      <c r="F273" s="10">
        <v>46245</v>
      </c>
      <c r="G273" s="11" t="s">
        <v>716</v>
      </c>
      <c r="H273" s="12">
        <v>0</v>
      </c>
      <c r="I273" s="12" t="s">
        <v>444</v>
      </c>
      <c r="J273" s="12">
        <v>0</v>
      </c>
      <c r="K273" s="13"/>
      <c r="L273" s="12" t="s">
        <v>434</v>
      </c>
      <c r="M273" s="12"/>
      <c r="N273" s="11"/>
    </row>
    <row r="274" spans="1:14" ht="15.75" customHeight="1" x14ac:dyDescent="0.35">
      <c r="A274" s="7">
        <v>273</v>
      </c>
      <c r="B274" s="7" t="s">
        <v>377</v>
      </c>
      <c r="C274" s="9" t="str">
        <f>IFERROR(INDEX('Item Bank'!$D$2:$D$78,MATCH($B274,'Item Bank'!$A$2:$A$78,0)),"")</f>
        <v>What is the Wo'e Olla border conflict in regional history?</v>
      </c>
      <c r="D274" s="9" t="str">
        <f>IFERROR(INDEX('Item Bank'!$B$2:$B$78,MATCH($B274,'Item Bank'!$A$2:$A$78,0)),"")</f>
        <v>War &amp; Conflict</v>
      </c>
      <c r="E274" s="7" t="s">
        <v>431</v>
      </c>
      <c r="F274" s="10">
        <v>46244</v>
      </c>
      <c r="G274" s="11" t="s">
        <v>717</v>
      </c>
      <c r="H274" s="12">
        <v>1</v>
      </c>
      <c r="I274" s="12" t="s">
        <v>442</v>
      </c>
      <c r="J274" s="12">
        <v>0</v>
      </c>
      <c r="K274" s="13"/>
      <c r="L274" s="12" t="s">
        <v>434</v>
      </c>
      <c r="M274" s="12"/>
      <c r="N274" s="11"/>
    </row>
    <row r="275" spans="1:14" ht="15.75" customHeight="1" x14ac:dyDescent="0.35">
      <c r="A275" s="7">
        <v>274</v>
      </c>
      <c r="B275" s="7" t="s">
        <v>377</v>
      </c>
      <c r="C275" s="9" t="str">
        <f>IFERROR(INDEX('Item Bank'!$D$2:$D$78,MATCH($B275,'Item Bank'!$A$2:$A$78,0)),"")</f>
        <v>What is the Wo'e Olla border conflict in regional history?</v>
      </c>
      <c r="D275" s="9" t="str">
        <f>IFERROR(INDEX('Item Bank'!$B$2:$B$78,MATCH($B275,'Item Bank'!$A$2:$A$78,0)),"")</f>
        <v>War &amp; Conflict</v>
      </c>
      <c r="E275" s="7" t="s">
        <v>435</v>
      </c>
      <c r="F275" s="10">
        <v>46245</v>
      </c>
      <c r="G275" s="11" t="s">
        <v>718</v>
      </c>
      <c r="H275" s="12">
        <v>1</v>
      </c>
      <c r="I275" s="12" t="s">
        <v>442</v>
      </c>
      <c r="J275" s="12">
        <v>0</v>
      </c>
      <c r="K275" s="13"/>
      <c r="L275" s="12" t="s">
        <v>434</v>
      </c>
      <c r="M275" s="12"/>
      <c r="N275" s="11"/>
    </row>
    <row r="276" spans="1:14" ht="15.75" customHeight="1" x14ac:dyDescent="0.35">
      <c r="A276" s="7">
        <v>275</v>
      </c>
      <c r="B276" s="7" t="s">
        <v>377</v>
      </c>
      <c r="C276" s="9" t="str">
        <f>IFERROR(INDEX('Item Bank'!$D$2:$D$78,MATCH($B276,'Item Bank'!$A$2:$A$78,0)),"")</f>
        <v>What is the Wo'e Olla border conflict in regional history?</v>
      </c>
      <c r="D276" s="9" t="str">
        <f>IFERROR(INDEX('Item Bank'!$B$2:$B$78,MATCH($B276,'Item Bank'!$A$2:$A$78,0)),"")</f>
        <v>War &amp; Conflict</v>
      </c>
      <c r="E276" s="7" t="s">
        <v>438</v>
      </c>
      <c r="F276" s="10">
        <v>46245</v>
      </c>
      <c r="G276" s="11" t="s">
        <v>719</v>
      </c>
      <c r="H276" s="12">
        <v>0</v>
      </c>
      <c r="I276" s="12" t="s">
        <v>444</v>
      </c>
      <c r="J276" s="12">
        <v>0</v>
      </c>
      <c r="K276" s="13"/>
      <c r="L276" s="12" t="s">
        <v>434</v>
      </c>
      <c r="M276" s="12"/>
      <c r="N276" s="11"/>
    </row>
    <row r="277" spans="1:14" ht="15.75" customHeight="1" x14ac:dyDescent="0.35">
      <c r="A277" s="7">
        <v>276</v>
      </c>
      <c r="B277" s="7" t="s">
        <v>377</v>
      </c>
      <c r="C277" s="9" t="str">
        <f>IFERROR(INDEX('Item Bank'!$D$2:$D$78,MATCH($B277,'Item Bank'!$A$2:$A$78,0)),"")</f>
        <v>What is the Wo'e Olla border conflict in regional history?</v>
      </c>
      <c r="D277" s="9" t="str">
        <f>IFERROR(INDEX('Item Bank'!$B$2:$B$78,MATCH($B277,'Item Bank'!$A$2:$A$78,0)),"")</f>
        <v>War &amp; Conflict</v>
      </c>
      <c r="E277" s="7" t="s">
        <v>440</v>
      </c>
      <c r="F277" s="10">
        <v>46245</v>
      </c>
      <c r="G277" s="11" t="s">
        <v>720</v>
      </c>
      <c r="H277" s="12">
        <v>0</v>
      </c>
      <c r="I277" s="12" t="s">
        <v>444</v>
      </c>
      <c r="J277" s="12">
        <v>0</v>
      </c>
      <c r="K277" s="13"/>
      <c r="L277" s="12" t="s">
        <v>434</v>
      </c>
      <c r="M277" s="12"/>
      <c r="N277" s="11"/>
    </row>
    <row r="278" spans="1:14" ht="15.75" customHeight="1" x14ac:dyDescent="0.35">
      <c r="A278" s="7">
        <v>277</v>
      </c>
      <c r="B278" s="7" t="s">
        <v>381</v>
      </c>
      <c r="C278" s="9" t="str">
        <f>IFERROR(INDEX('Item Bank'!$D$2:$D$78,MATCH($B278,'Item Bank'!$A$2:$A$78,0)),"")</f>
        <v>What is the historical battle of Garbichi Oola?</v>
      </c>
      <c r="D278" s="9" t="str">
        <f>IFERROR(INDEX('Item Bank'!$B$2:$B$78,MATCH($B278,'Item Bank'!$A$2:$A$78,0)),"")</f>
        <v>War &amp; Conflict</v>
      </c>
      <c r="E278" s="7" t="s">
        <v>431</v>
      </c>
      <c r="F278" s="10">
        <v>46244</v>
      </c>
      <c r="G278" s="11" t="s">
        <v>721</v>
      </c>
      <c r="H278" s="12">
        <v>0</v>
      </c>
      <c r="I278" s="12" t="s">
        <v>448</v>
      </c>
      <c r="J278" s="12">
        <v>0</v>
      </c>
      <c r="K278" s="13"/>
      <c r="L278" s="12" t="s">
        <v>434</v>
      </c>
      <c r="M278" s="12"/>
      <c r="N278" s="11"/>
    </row>
    <row r="279" spans="1:14" ht="15.75" customHeight="1" x14ac:dyDescent="0.35">
      <c r="A279" s="7">
        <v>278</v>
      </c>
      <c r="B279" s="7" t="s">
        <v>381</v>
      </c>
      <c r="C279" s="9" t="str">
        <f>IFERROR(INDEX('Item Bank'!$D$2:$D$78,MATCH($B279,'Item Bank'!$A$2:$A$78,0)),"")</f>
        <v>What is the historical battle of Garbichi Oola?</v>
      </c>
      <c r="D279" s="9" t="str">
        <f>IFERROR(INDEX('Item Bank'!$B$2:$B$78,MATCH($B279,'Item Bank'!$A$2:$A$78,0)),"")</f>
        <v>War &amp; Conflict</v>
      </c>
      <c r="E279" s="7" t="s">
        <v>435</v>
      </c>
      <c r="F279" s="10">
        <v>46245</v>
      </c>
      <c r="G279" s="11" t="s">
        <v>722</v>
      </c>
      <c r="H279" s="12">
        <v>1</v>
      </c>
      <c r="I279" s="12" t="s">
        <v>442</v>
      </c>
      <c r="J279" s="12">
        <v>0</v>
      </c>
      <c r="K279" s="13"/>
      <c r="L279" s="12" t="s">
        <v>434</v>
      </c>
      <c r="M279" s="12"/>
      <c r="N279" s="11"/>
    </row>
    <row r="280" spans="1:14" ht="15.75" customHeight="1" x14ac:dyDescent="0.35">
      <c r="A280" s="7">
        <v>279</v>
      </c>
      <c r="B280" s="7" t="s">
        <v>381</v>
      </c>
      <c r="C280" s="9" t="str">
        <f>IFERROR(INDEX('Item Bank'!$D$2:$D$78,MATCH($B280,'Item Bank'!$A$2:$A$78,0)),"")</f>
        <v>What is the historical battle of Garbichi Oola?</v>
      </c>
      <c r="D280" s="9" t="str">
        <f>IFERROR(INDEX('Item Bank'!$B$2:$B$78,MATCH($B280,'Item Bank'!$A$2:$A$78,0)),"")</f>
        <v>War &amp; Conflict</v>
      </c>
      <c r="E280" s="7" t="s">
        <v>438</v>
      </c>
      <c r="F280" s="10">
        <v>46245</v>
      </c>
      <c r="G280" s="11" t="s">
        <v>723</v>
      </c>
      <c r="H280" s="12">
        <v>0</v>
      </c>
      <c r="I280" s="12" t="s">
        <v>444</v>
      </c>
      <c r="J280" s="12">
        <v>0</v>
      </c>
      <c r="K280" s="13"/>
      <c r="L280" s="12" t="s">
        <v>434</v>
      </c>
      <c r="M280" s="12"/>
      <c r="N280" s="11"/>
    </row>
    <row r="281" spans="1:14" ht="15.75" customHeight="1" x14ac:dyDescent="0.35">
      <c r="A281" s="7">
        <v>280</v>
      </c>
      <c r="B281" s="7" t="s">
        <v>381</v>
      </c>
      <c r="C281" s="9" t="str">
        <f>IFERROR(INDEX('Item Bank'!$D$2:$D$78,MATCH($B281,'Item Bank'!$A$2:$A$78,0)),"")</f>
        <v>What is the historical battle of Garbichi Oola?</v>
      </c>
      <c r="D281" s="9" t="str">
        <f>IFERROR(INDEX('Item Bank'!$B$2:$B$78,MATCH($B281,'Item Bank'!$A$2:$A$78,0)),"")</f>
        <v>War &amp; Conflict</v>
      </c>
      <c r="E281" s="7" t="s">
        <v>440</v>
      </c>
      <c r="F281" s="10">
        <v>46245</v>
      </c>
      <c r="G281" s="11" t="s">
        <v>724</v>
      </c>
      <c r="H281" s="12">
        <v>0</v>
      </c>
      <c r="I281" s="12" t="s">
        <v>444</v>
      </c>
      <c r="J281" s="12">
        <v>0</v>
      </c>
      <c r="K281" s="13"/>
      <c r="L281" s="12" t="s">
        <v>434</v>
      </c>
      <c r="M281" s="12"/>
      <c r="N281" s="11"/>
    </row>
    <row r="282" spans="1:14" ht="15.75" customHeight="1" x14ac:dyDescent="0.35">
      <c r="A282" s="7">
        <v>281</v>
      </c>
      <c r="B282" s="7" t="s">
        <v>385</v>
      </c>
      <c r="C282" s="9" t="str">
        <f>IFERROR(INDEX('Item Bank'!$D$2:$D$78,MATCH($B282,'Item Bank'!$A$2:$A$78,0)),"")</f>
        <v>What was the historical administrative center of Anna?</v>
      </c>
      <c r="D282" s="9" t="str">
        <f>IFERROR(INDEX('Item Bank'!$B$2:$B$78,MATCH($B282,'Item Bank'!$A$2:$A$78,0)),"")</f>
        <v>Traditional Governance</v>
      </c>
      <c r="E282" s="7" t="s">
        <v>431</v>
      </c>
      <c r="F282" s="10">
        <v>46244</v>
      </c>
      <c r="G282" s="11" t="s">
        <v>725</v>
      </c>
      <c r="H282" s="12">
        <v>0</v>
      </c>
      <c r="I282" s="12" t="s">
        <v>448</v>
      </c>
      <c r="J282" s="12">
        <v>0</v>
      </c>
      <c r="K282" s="13"/>
      <c r="L282" s="12" t="s">
        <v>434</v>
      </c>
      <c r="M282" s="12"/>
      <c r="N282" s="11"/>
    </row>
    <row r="283" spans="1:14" ht="15.75" customHeight="1" x14ac:dyDescent="0.35">
      <c r="A283" s="7">
        <v>282</v>
      </c>
      <c r="B283" s="7" t="s">
        <v>385</v>
      </c>
      <c r="C283" s="9" t="str">
        <f>IFERROR(INDEX('Item Bank'!$D$2:$D$78,MATCH($B283,'Item Bank'!$A$2:$A$78,0)),"")</f>
        <v>What was the historical administrative center of Anna?</v>
      </c>
      <c r="D283" s="9" t="str">
        <f>IFERROR(INDEX('Item Bank'!$B$2:$B$78,MATCH($B283,'Item Bank'!$A$2:$A$78,0)),"")</f>
        <v>Traditional Governance</v>
      </c>
      <c r="E283" s="7" t="s">
        <v>435</v>
      </c>
      <c r="F283" s="10">
        <v>46245</v>
      </c>
      <c r="G283" s="11" t="s">
        <v>726</v>
      </c>
      <c r="H283" s="12">
        <v>1</v>
      </c>
      <c r="I283" s="12" t="s">
        <v>448</v>
      </c>
      <c r="J283" s="12">
        <v>0</v>
      </c>
      <c r="K283" s="13"/>
      <c r="L283" s="12" t="s">
        <v>434</v>
      </c>
      <c r="M283" s="12"/>
      <c r="N283" s="11"/>
    </row>
    <row r="284" spans="1:14" ht="15.75" customHeight="1" x14ac:dyDescent="0.35">
      <c r="A284" s="7">
        <v>283</v>
      </c>
      <c r="B284" s="7" t="s">
        <v>385</v>
      </c>
      <c r="C284" s="9" t="str">
        <f>IFERROR(INDEX('Item Bank'!$D$2:$D$78,MATCH($B284,'Item Bank'!$A$2:$A$78,0)),"")</f>
        <v>What was the historical administrative center of Anna?</v>
      </c>
      <c r="D284" s="9" t="str">
        <f>IFERROR(INDEX('Item Bank'!$B$2:$B$78,MATCH($B284,'Item Bank'!$A$2:$A$78,0)),"")</f>
        <v>Traditional Governance</v>
      </c>
      <c r="E284" s="7" t="s">
        <v>438</v>
      </c>
      <c r="F284" s="10">
        <v>46245</v>
      </c>
      <c r="G284" s="11" t="s">
        <v>727</v>
      </c>
      <c r="H284" s="12">
        <v>0</v>
      </c>
      <c r="I284" s="12" t="s">
        <v>444</v>
      </c>
      <c r="J284" s="12">
        <v>0</v>
      </c>
      <c r="K284" s="13"/>
      <c r="L284" s="12" t="s">
        <v>434</v>
      </c>
      <c r="M284" s="12"/>
      <c r="N284" s="11"/>
    </row>
    <row r="285" spans="1:14" ht="15.75" customHeight="1" x14ac:dyDescent="0.35">
      <c r="A285" s="7">
        <v>284</v>
      </c>
      <c r="B285" s="7" t="s">
        <v>385</v>
      </c>
      <c r="C285" s="9" t="str">
        <f>IFERROR(INDEX('Item Bank'!$D$2:$D$78,MATCH($B285,'Item Bank'!$A$2:$A$78,0)),"")</f>
        <v>What was the historical administrative center of Anna?</v>
      </c>
      <c r="D285" s="9" t="str">
        <f>IFERROR(INDEX('Item Bank'!$B$2:$B$78,MATCH($B285,'Item Bank'!$A$2:$A$78,0)),"")</f>
        <v>Traditional Governance</v>
      </c>
      <c r="E285" s="7" t="s">
        <v>440</v>
      </c>
      <c r="F285" s="10">
        <v>46245</v>
      </c>
      <c r="G285" s="11" t="s">
        <v>728</v>
      </c>
      <c r="H285" s="12">
        <v>0</v>
      </c>
      <c r="I285" s="12" t="s">
        <v>442</v>
      </c>
      <c r="J285" s="12">
        <v>0</v>
      </c>
      <c r="K285" s="13"/>
      <c r="L285" s="12" t="s">
        <v>434</v>
      </c>
      <c r="M285" s="12"/>
      <c r="N285" s="11"/>
    </row>
    <row r="286" spans="1:14" ht="15.75" customHeight="1" x14ac:dyDescent="0.35">
      <c r="A286" s="7">
        <v>285</v>
      </c>
      <c r="B286" s="7" t="s">
        <v>390</v>
      </c>
      <c r="C286" s="9" t="str">
        <f>IFERROR(INDEX('Item Bank'!$D$2:$D$78,MATCH($B286,'Item Bank'!$A$2:$A$78,0)),"")</f>
        <v>What is the historical significance of the Hadero area?</v>
      </c>
      <c r="D286" s="9" t="str">
        <f>IFERROR(INDEX('Item Bank'!$B$2:$B$78,MATCH($B286,'Item Bank'!$A$2:$A$78,0)),"")</f>
        <v>Traditional Governance</v>
      </c>
      <c r="E286" s="7" t="s">
        <v>431</v>
      </c>
      <c r="F286" s="10">
        <v>46244</v>
      </c>
      <c r="G286" s="11" t="s">
        <v>729</v>
      </c>
      <c r="H286" s="12">
        <v>1</v>
      </c>
      <c r="I286" s="12" t="s">
        <v>442</v>
      </c>
      <c r="J286" s="12">
        <v>0</v>
      </c>
      <c r="K286" s="13"/>
      <c r="L286" s="12" t="s">
        <v>434</v>
      </c>
      <c r="M286" s="12"/>
      <c r="N286" s="11"/>
    </row>
    <row r="287" spans="1:14" ht="15.75" customHeight="1" x14ac:dyDescent="0.35">
      <c r="A287" s="7">
        <v>286</v>
      </c>
      <c r="B287" s="7" t="s">
        <v>390</v>
      </c>
      <c r="C287" s="9" t="str">
        <f>IFERROR(INDEX('Item Bank'!$D$2:$D$78,MATCH($B287,'Item Bank'!$A$2:$A$78,0)),"")</f>
        <v>What is the historical significance of the Hadero area?</v>
      </c>
      <c r="D287" s="9" t="str">
        <f>IFERROR(INDEX('Item Bank'!$B$2:$B$78,MATCH($B287,'Item Bank'!$A$2:$A$78,0)),"")</f>
        <v>Traditional Governance</v>
      </c>
      <c r="E287" s="7" t="s">
        <v>435</v>
      </c>
      <c r="F287" s="10">
        <v>46245</v>
      </c>
      <c r="G287" s="11" t="s">
        <v>730</v>
      </c>
      <c r="H287" s="12">
        <v>0</v>
      </c>
      <c r="I287" s="12" t="s">
        <v>448</v>
      </c>
      <c r="J287" s="12">
        <v>0</v>
      </c>
      <c r="K287" s="13"/>
      <c r="L287" s="12" t="s">
        <v>434</v>
      </c>
      <c r="M287" s="12"/>
      <c r="N287" s="11"/>
    </row>
    <row r="288" spans="1:14" ht="15.75" customHeight="1" x14ac:dyDescent="0.35">
      <c r="A288" s="7">
        <v>287</v>
      </c>
      <c r="B288" s="7" t="s">
        <v>390</v>
      </c>
      <c r="C288" s="9" t="str">
        <f>IFERROR(INDEX('Item Bank'!$D$2:$D$78,MATCH($B288,'Item Bank'!$A$2:$A$78,0)),"")</f>
        <v>What is the historical significance of the Hadero area?</v>
      </c>
      <c r="D288" s="9" t="str">
        <f>IFERROR(INDEX('Item Bank'!$B$2:$B$78,MATCH($B288,'Item Bank'!$A$2:$A$78,0)),"")</f>
        <v>Traditional Governance</v>
      </c>
      <c r="E288" s="7" t="s">
        <v>438</v>
      </c>
      <c r="F288" s="10">
        <v>46245</v>
      </c>
      <c r="G288" s="11" t="s">
        <v>731</v>
      </c>
      <c r="H288" s="12">
        <v>1</v>
      </c>
      <c r="I288" s="12" t="s">
        <v>444</v>
      </c>
      <c r="J288" s="12">
        <v>0</v>
      </c>
      <c r="K288" s="13"/>
      <c r="L288" s="12" t="s">
        <v>434</v>
      </c>
      <c r="M288" s="12"/>
      <c r="N288" s="11"/>
    </row>
    <row r="289" spans="1:14" ht="15.75" customHeight="1" x14ac:dyDescent="0.35">
      <c r="A289" s="7">
        <v>288</v>
      </c>
      <c r="B289" s="7" t="s">
        <v>390</v>
      </c>
      <c r="C289" s="9" t="str">
        <f>IFERROR(INDEX('Item Bank'!$D$2:$D$78,MATCH($B289,'Item Bank'!$A$2:$A$78,0)),"")</f>
        <v>What is the historical significance of the Hadero area?</v>
      </c>
      <c r="D289" s="9" t="str">
        <f>IFERROR(INDEX('Item Bank'!$B$2:$B$78,MATCH($B289,'Item Bank'!$A$2:$A$78,0)),"")</f>
        <v>Traditional Governance</v>
      </c>
      <c r="E289" s="7" t="s">
        <v>440</v>
      </c>
      <c r="F289" s="10">
        <v>46245</v>
      </c>
      <c r="G289" s="11" t="s">
        <v>732</v>
      </c>
      <c r="H289" s="12">
        <v>0</v>
      </c>
      <c r="I289" s="12" t="s">
        <v>442</v>
      </c>
      <c r="J289" s="12">
        <v>0</v>
      </c>
      <c r="K289" s="13"/>
      <c r="L289" s="12" t="s">
        <v>434</v>
      </c>
      <c r="M289" s="12"/>
      <c r="N289" s="11"/>
    </row>
    <row r="290" spans="1:14" ht="15.75" customHeight="1" x14ac:dyDescent="0.35">
      <c r="A290" s="7">
        <v>289</v>
      </c>
      <c r="B290" s="7" t="s">
        <v>394</v>
      </c>
      <c r="C290" s="9" t="str">
        <f>IFERROR(INDEX('Item Bank'!$D$2:$D$78,MATCH($B290,'Item Bank'!$A$2:$A$78,0)),"")</f>
        <v>What is the significance of the Qachabira region?</v>
      </c>
      <c r="D290" s="9" t="str">
        <f>IFERROR(INDEX('Item Bank'!$B$2:$B$78,MATCH($B290,'Item Bank'!$A$2:$A$78,0)),"")</f>
        <v>Traditional Governance</v>
      </c>
      <c r="E290" s="7" t="s">
        <v>431</v>
      </c>
      <c r="F290" s="10">
        <v>46244</v>
      </c>
      <c r="G290" s="11" t="s">
        <v>733</v>
      </c>
      <c r="H290" s="12">
        <v>2</v>
      </c>
      <c r="I290" s="12" t="s">
        <v>444</v>
      </c>
      <c r="J290" s="12">
        <v>0</v>
      </c>
      <c r="K290" s="13"/>
      <c r="L290" s="12" t="s">
        <v>434</v>
      </c>
      <c r="M290" s="12"/>
      <c r="N290" s="11"/>
    </row>
    <row r="291" spans="1:14" ht="15.75" customHeight="1" x14ac:dyDescent="0.35">
      <c r="A291" s="7">
        <v>290</v>
      </c>
      <c r="B291" s="7" t="s">
        <v>394</v>
      </c>
      <c r="C291" s="9" t="str">
        <f>IFERROR(INDEX('Item Bank'!$D$2:$D$78,MATCH($B291,'Item Bank'!$A$2:$A$78,0)),"")</f>
        <v>What is the significance of the Qachabira region?</v>
      </c>
      <c r="D291" s="9" t="str">
        <f>IFERROR(INDEX('Item Bank'!$B$2:$B$78,MATCH($B291,'Item Bank'!$A$2:$A$78,0)),"")</f>
        <v>Traditional Governance</v>
      </c>
      <c r="E291" s="7" t="s">
        <v>435</v>
      </c>
      <c r="F291" s="10">
        <v>46245</v>
      </c>
      <c r="G291" s="11" t="s">
        <v>734</v>
      </c>
      <c r="H291" s="12">
        <v>1</v>
      </c>
      <c r="I291" s="12" t="s">
        <v>442</v>
      </c>
      <c r="J291" s="12">
        <v>0</v>
      </c>
      <c r="K291" s="13"/>
      <c r="L291" s="12" t="s">
        <v>434</v>
      </c>
      <c r="M291" s="12"/>
      <c r="N291" s="11"/>
    </row>
    <row r="292" spans="1:14" ht="15.75" customHeight="1" x14ac:dyDescent="0.35">
      <c r="A292" s="7">
        <v>291</v>
      </c>
      <c r="B292" s="7" t="s">
        <v>394</v>
      </c>
      <c r="C292" s="9" t="str">
        <f>IFERROR(INDEX('Item Bank'!$D$2:$D$78,MATCH($B292,'Item Bank'!$A$2:$A$78,0)),"")</f>
        <v>What is the significance of the Qachabira region?</v>
      </c>
      <c r="D292" s="9" t="str">
        <f>IFERROR(INDEX('Item Bank'!$B$2:$B$78,MATCH($B292,'Item Bank'!$A$2:$A$78,0)),"")</f>
        <v>Traditional Governance</v>
      </c>
      <c r="E292" s="7" t="s">
        <v>438</v>
      </c>
      <c r="F292" s="10">
        <v>46245</v>
      </c>
      <c r="G292" s="11" t="s">
        <v>735</v>
      </c>
      <c r="H292" s="12">
        <v>0</v>
      </c>
      <c r="I292" s="12" t="s">
        <v>444</v>
      </c>
      <c r="J292" s="12">
        <v>0</v>
      </c>
      <c r="K292" s="13"/>
      <c r="L292" s="12" t="s">
        <v>434</v>
      </c>
      <c r="M292" s="12"/>
      <c r="N292" s="11"/>
    </row>
    <row r="293" spans="1:14" ht="15.75" customHeight="1" x14ac:dyDescent="0.35">
      <c r="A293" s="7">
        <v>292</v>
      </c>
      <c r="B293" s="7" t="s">
        <v>394</v>
      </c>
      <c r="C293" s="9" t="str">
        <f>IFERROR(INDEX('Item Bank'!$D$2:$D$78,MATCH($B293,'Item Bank'!$A$2:$A$78,0)),"")</f>
        <v>What is the significance of the Qachabira region?</v>
      </c>
      <c r="D293" s="9" t="str">
        <f>IFERROR(INDEX('Item Bank'!$B$2:$B$78,MATCH($B293,'Item Bank'!$A$2:$A$78,0)),"")</f>
        <v>Traditional Governance</v>
      </c>
      <c r="E293" s="7" t="s">
        <v>440</v>
      </c>
      <c r="F293" s="10">
        <v>46245</v>
      </c>
      <c r="G293" s="11" t="s">
        <v>736</v>
      </c>
      <c r="H293" s="12">
        <v>0</v>
      </c>
      <c r="I293" s="12" t="s">
        <v>444</v>
      </c>
      <c r="J293" s="12">
        <v>0</v>
      </c>
      <c r="K293" s="13"/>
      <c r="L293" s="12" t="s">
        <v>434</v>
      </c>
      <c r="M293" s="12"/>
      <c r="N293" s="11"/>
    </row>
    <row r="294" spans="1:14" ht="15.75" customHeight="1" x14ac:dyDescent="0.35">
      <c r="A294" s="7">
        <v>293</v>
      </c>
      <c r="B294" s="7" t="s">
        <v>398</v>
      </c>
      <c r="C294" s="9" t="str">
        <f>IFERROR(INDEX('Item Bank'!$D$2:$D$78,MATCH($B294,'Item Bank'!$A$2:$A$78,0)),"")</f>
        <v>What is the rural village of Garba?</v>
      </c>
      <c r="D294" s="9" t="str">
        <f>IFERROR(INDEX('Item Bank'!$B$2:$B$78,MATCH($B294,'Item Bank'!$A$2:$A$78,0)),"")</f>
        <v>Geography</v>
      </c>
      <c r="E294" s="7" t="s">
        <v>431</v>
      </c>
      <c r="F294" s="10">
        <v>46244</v>
      </c>
      <c r="G294" s="11" t="s">
        <v>737</v>
      </c>
      <c r="H294" s="12">
        <v>1</v>
      </c>
      <c r="I294" s="12" t="s">
        <v>442</v>
      </c>
      <c r="J294" s="12">
        <v>0</v>
      </c>
      <c r="K294" s="13"/>
      <c r="L294" s="12" t="s">
        <v>434</v>
      </c>
      <c r="M294" s="12"/>
      <c r="N294" s="11"/>
    </row>
    <row r="295" spans="1:14" ht="15.75" customHeight="1" x14ac:dyDescent="0.35">
      <c r="A295" s="7">
        <v>294</v>
      </c>
      <c r="B295" s="7" t="s">
        <v>398</v>
      </c>
      <c r="C295" s="9" t="str">
        <f>IFERROR(INDEX('Item Bank'!$D$2:$D$78,MATCH($B295,'Item Bank'!$A$2:$A$78,0)),"")</f>
        <v>What is the rural village of Garba?</v>
      </c>
      <c r="D295" s="9" t="str">
        <f>IFERROR(INDEX('Item Bank'!$B$2:$B$78,MATCH($B295,'Item Bank'!$A$2:$A$78,0)),"")</f>
        <v>Geography</v>
      </c>
      <c r="E295" s="7" t="s">
        <v>435</v>
      </c>
      <c r="F295" s="10">
        <v>46245</v>
      </c>
      <c r="G295" s="11" t="s">
        <v>738</v>
      </c>
      <c r="H295" s="12">
        <v>1</v>
      </c>
      <c r="I295" s="12" t="s">
        <v>442</v>
      </c>
      <c r="J295" s="12">
        <v>0</v>
      </c>
      <c r="K295" s="13"/>
      <c r="L295" s="12" t="s">
        <v>434</v>
      </c>
      <c r="M295" s="12"/>
      <c r="N295" s="11"/>
    </row>
    <row r="296" spans="1:14" ht="15.75" customHeight="1" x14ac:dyDescent="0.35">
      <c r="A296" s="7">
        <v>295</v>
      </c>
      <c r="B296" s="7" t="s">
        <v>398</v>
      </c>
      <c r="C296" s="9" t="str">
        <f>IFERROR(INDEX('Item Bank'!$D$2:$D$78,MATCH($B296,'Item Bank'!$A$2:$A$78,0)),"")</f>
        <v>What is the rural village of Garba?</v>
      </c>
      <c r="D296" s="9" t="str">
        <f>IFERROR(INDEX('Item Bank'!$B$2:$B$78,MATCH($B296,'Item Bank'!$A$2:$A$78,0)),"")</f>
        <v>Geography</v>
      </c>
      <c r="E296" s="7" t="s">
        <v>438</v>
      </c>
      <c r="F296" s="10">
        <v>46245</v>
      </c>
      <c r="G296" s="11" t="s">
        <v>739</v>
      </c>
      <c r="H296" s="12">
        <v>0</v>
      </c>
      <c r="I296" s="12" t="s">
        <v>444</v>
      </c>
      <c r="J296" s="12">
        <v>0</v>
      </c>
      <c r="K296" s="13"/>
      <c r="L296" s="12" t="s">
        <v>434</v>
      </c>
      <c r="M296" s="12"/>
      <c r="N296" s="11"/>
    </row>
    <row r="297" spans="1:14" ht="15.75" customHeight="1" x14ac:dyDescent="0.35">
      <c r="A297" s="7">
        <v>296</v>
      </c>
      <c r="B297" s="7" t="s">
        <v>398</v>
      </c>
      <c r="C297" s="9" t="str">
        <f>IFERROR(INDEX('Item Bank'!$D$2:$D$78,MATCH($B297,'Item Bank'!$A$2:$A$78,0)),"")</f>
        <v>What is the rural village of Garba?</v>
      </c>
      <c r="D297" s="9" t="str">
        <f>IFERROR(INDEX('Item Bank'!$B$2:$B$78,MATCH($B297,'Item Bank'!$A$2:$A$78,0)),"")</f>
        <v>Geography</v>
      </c>
      <c r="E297" s="7" t="s">
        <v>440</v>
      </c>
      <c r="F297" s="10">
        <v>46245</v>
      </c>
      <c r="G297" s="11" t="s">
        <v>740</v>
      </c>
      <c r="H297" s="12">
        <v>0</v>
      </c>
      <c r="I297" s="12" t="s">
        <v>444</v>
      </c>
      <c r="J297" s="12">
        <v>0</v>
      </c>
      <c r="K297" s="13"/>
      <c r="L297" s="12" t="s">
        <v>434</v>
      </c>
      <c r="M297" s="12"/>
      <c r="N297" s="11"/>
    </row>
    <row r="298" spans="1:14" ht="15.75" customHeight="1" x14ac:dyDescent="0.35">
      <c r="A298" s="7">
        <v>297</v>
      </c>
      <c r="B298" s="7" t="s">
        <v>404</v>
      </c>
      <c r="C298" s="9" t="str">
        <f>IFERROR(INDEX('Item Bank'!$D$2:$D$78,MATCH($B298,'Item Bank'!$A$2:$A$78,0)),"")</f>
        <v>What is the village of Mishigida?</v>
      </c>
      <c r="D298" s="9" t="str">
        <f>IFERROR(INDEX('Item Bank'!$B$2:$B$78,MATCH($B298,'Item Bank'!$A$2:$A$78,0)),"")</f>
        <v>Geography</v>
      </c>
      <c r="E298" s="7" t="s">
        <v>431</v>
      </c>
      <c r="F298" s="10">
        <v>46244</v>
      </c>
      <c r="G298" s="11" t="s">
        <v>741</v>
      </c>
      <c r="H298" s="12">
        <v>1</v>
      </c>
      <c r="I298" s="12" t="s">
        <v>442</v>
      </c>
      <c r="J298" s="12">
        <v>0</v>
      </c>
      <c r="K298" s="13"/>
      <c r="L298" s="12" t="s">
        <v>434</v>
      </c>
      <c r="M298" s="12"/>
      <c r="N298" s="11"/>
    </row>
    <row r="299" spans="1:14" ht="15.75" customHeight="1" x14ac:dyDescent="0.35">
      <c r="A299" s="7">
        <v>298</v>
      </c>
      <c r="B299" s="7" t="s">
        <v>404</v>
      </c>
      <c r="C299" s="9" t="str">
        <f>IFERROR(INDEX('Item Bank'!$D$2:$D$78,MATCH($B299,'Item Bank'!$A$2:$A$78,0)),"")</f>
        <v>What is the village of Mishigida?</v>
      </c>
      <c r="D299" s="9" t="str">
        <f>IFERROR(INDEX('Item Bank'!$B$2:$B$78,MATCH($B299,'Item Bank'!$A$2:$A$78,0)),"")</f>
        <v>Geography</v>
      </c>
      <c r="E299" s="7" t="s">
        <v>435</v>
      </c>
      <c r="F299" s="10">
        <v>46245</v>
      </c>
      <c r="G299" s="11" t="s">
        <v>742</v>
      </c>
      <c r="H299" s="12">
        <v>1</v>
      </c>
      <c r="I299" s="12" t="s">
        <v>448</v>
      </c>
      <c r="J299" s="12">
        <v>2</v>
      </c>
      <c r="K299" s="13" t="s">
        <v>743</v>
      </c>
      <c r="L299" s="12" t="s">
        <v>434</v>
      </c>
      <c r="M299" s="12"/>
      <c r="N299" s="11"/>
    </row>
    <row r="300" spans="1:14" ht="15.75" customHeight="1" x14ac:dyDescent="0.35">
      <c r="A300" s="7">
        <v>299</v>
      </c>
      <c r="B300" s="7" t="s">
        <v>404</v>
      </c>
      <c r="C300" s="9" t="str">
        <f>IFERROR(INDEX('Item Bank'!$D$2:$D$78,MATCH($B300,'Item Bank'!$A$2:$A$78,0)),"")</f>
        <v>What is the village of Mishigida?</v>
      </c>
      <c r="D300" s="9" t="str">
        <f>IFERROR(INDEX('Item Bank'!$B$2:$B$78,MATCH($B300,'Item Bank'!$A$2:$A$78,0)),"")</f>
        <v>Geography</v>
      </c>
      <c r="E300" s="7" t="s">
        <v>438</v>
      </c>
      <c r="F300" s="10">
        <v>46245</v>
      </c>
      <c r="G300" s="11" t="s">
        <v>744</v>
      </c>
      <c r="H300" s="12">
        <v>0</v>
      </c>
      <c r="I300" s="12" t="s">
        <v>444</v>
      </c>
      <c r="J300" s="12">
        <v>0</v>
      </c>
      <c r="K300" s="13"/>
      <c r="L300" s="12" t="s">
        <v>434</v>
      </c>
      <c r="M300" s="12"/>
      <c r="N300" s="11"/>
    </row>
    <row r="301" spans="1:14" ht="15.75" customHeight="1" x14ac:dyDescent="0.35">
      <c r="A301" s="7">
        <v>300</v>
      </c>
      <c r="B301" s="7" t="s">
        <v>404</v>
      </c>
      <c r="C301" s="9" t="str">
        <f>IFERROR(INDEX('Item Bank'!$D$2:$D$78,MATCH($B301,'Item Bank'!$A$2:$A$78,0)),"")</f>
        <v>What is the village of Mishigida?</v>
      </c>
      <c r="D301" s="9" t="str">
        <f>IFERROR(INDEX('Item Bank'!$B$2:$B$78,MATCH($B301,'Item Bank'!$A$2:$A$78,0)),"")</f>
        <v>Geography</v>
      </c>
      <c r="E301" s="7" t="s">
        <v>440</v>
      </c>
      <c r="F301" s="10">
        <v>46245</v>
      </c>
      <c r="G301" s="11" t="s">
        <v>745</v>
      </c>
      <c r="H301" s="12">
        <v>1</v>
      </c>
      <c r="I301" s="12" t="s">
        <v>448</v>
      </c>
      <c r="J301" s="12">
        <v>0</v>
      </c>
      <c r="K301" s="13"/>
      <c r="L301" s="12" t="s">
        <v>434</v>
      </c>
      <c r="M301" s="12"/>
      <c r="N301" s="11"/>
    </row>
    <row r="302" spans="1:14" ht="15.75" customHeight="1" x14ac:dyDescent="0.35">
      <c r="A302" s="7">
        <v>301</v>
      </c>
      <c r="B302" s="7" t="s">
        <v>409</v>
      </c>
      <c r="C302" s="9" t="str">
        <f>IFERROR(INDEX('Item Bank'!$D$2:$D$78,MATCH($B302,'Item Bank'!$A$2:$A$78,0)),"")</f>
        <v>What is the rural village of Denekka Bonaamu?</v>
      </c>
      <c r="D302" s="9" t="str">
        <f>IFERROR(INDEX('Item Bank'!$B$2:$B$78,MATCH($B302,'Item Bank'!$A$2:$A$78,0)),"")</f>
        <v>Geography</v>
      </c>
      <c r="E302" s="7" t="s">
        <v>431</v>
      </c>
      <c r="F302" s="10">
        <v>46244</v>
      </c>
      <c r="G302" s="11" t="s">
        <v>746</v>
      </c>
      <c r="H302" s="12">
        <v>2</v>
      </c>
      <c r="I302" s="12" t="s">
        <v>444</v>
      </c>
      <c r="J302" s="12">
        <v>0</v>
      </c>
      <c r="K302" s="13"/>
      <c r="L302" s="12" t="s">
        <v>434</v>
      </c>
      <c r="M302" s="12"/>
      <c r="N302" s="11"/>
    </row>
    <row r="303" spans="1:14" ht="15.75" customHeight="1" x14ac:dyDescent="0.35">
      <c r="A303" s="7">
        <v>302</v>
      </c>
      <c r="B303" s="7" t="s">
        <v>409</v>
      </c>
      <c r="C303" s="9" t="str">
        <f>IFERROR(INDEX('Item Bank'!$D$2:$D$78,MATCH($B303,'Item Bank'!$A$2:$A$78,0)),"")</f>
        <v>What is the rural village of Denekka Bonaamu?</v>
      </c>
      <c r="D303" s="9" t="str">
        <f>IFERROR(INDEX('Item Bank'!$B$2:$B$78,MATCH($B303,'Item Bank'!$A$2:$A$78,0)),"")</f>
        <v>Geography</v>
      </c>
      <c r="E303" s="7" t="s">
        <v>435</v>
      </c>
      <c r="F303" s="10">
        <v>46245</v>
      </c>
      <c r="G303" s="11" t="s">
        <v>747</v>
      </c>
      <c r="H303" s="12">
        <v>2</v>
      </c>
      <c r="I303" s="12" t="s">
        <v>444</v>
      </c>
      <c r="J303" s="12">
        <v>0</v>
      </c>
      <c r="K303" s="13"/>
      <c r="L303" s="12" t="s">
        <v>434</v>
      </c>
      <c r="M303" s="12"/>
      <c r="N303" s="11"/>
    </row>
    <row r="304" spans="1:14" ht="15.75" customHeight="1" x14ac:dyDescent="0.35">
      <c r="A304" s="7">
        <v>303</v>
      </c>
      <c r="B304" s="7" t="s">
        <v>409</v>
      </c>
      <c r="C304" s="9" t="str">
        <f>IFERROR(INDEX('Item Bank'!$D$2:$D$78,MATCH($B304,'Item Bank'!$A$2:$A$78,0)),"")</f>
        <v>What is the rural village of Denekka Bonaamu?</v>
      </c>
      <c r="D304" s="9" t="str">
        <f>IFERROR(INDEX('Item Bank'!$B$2:$B$78,MATCH($B304,'Item Bank'!$A$2:$A$78,0)),"")</f>
        <v>Geography</v>
      </c>
      <c r="E304" s="7" t="s">
        <v>438</v>
      </c>
      <c r="F304" s="10">
        <v>46244</v>
      </c>
      <c r="G304" s="11" t="s">
        <v>748</v>
      </c>
      <c r="H304" s="12">
        <v>0</v>
      </c>
      <c r="I304" s="12" t="s">
        <v>444</v>
      </c>
      <c r="J304" s="12">
        <v>0</v>
      </c>
      <c r="K304" s="13"/>
      <c r="L304" s="12" t="s">
        <v>434</v>
      </c>
      <c r="M304" s="12"/>
      <c r="N304" s="11"/>
    </row>
    <row r="305" spans="1:14" ht="15.75" customHeight="1" x14ac:dyDescent="0.35">
      <c r="A305" s="7">
        <v>304</v>
      </c>
      <c r="B305" s="7" t="s">
        <v>409</v>
      </c>
      <c r="C305" s="9" t="str">
        <f>IFERROR(INDEX('Item Bank'!$D$2:$D$78,MATCH($B305,'Item Bank'!$A$2:$A$78,0)),"")</f>
        <v>What is the rural village of Denekka Bonaamu?</v>
      </c>
      <c r="D305" s="9" t="str">
        <f>IFERROR(INDEX('Item Bank'!$B$2:$B$78,MATCH($B305,'Item Bank'!$A$2:$A$78,0)),"")</f>
        <v>Geography</v>
      </c>
      <c r="E305" s="7" t="s">
        <v>440</v>
      </c>
      <c r="F305" s="10">
        <v>46245</v>
      </c>
      <c r="G305" s="11" t="s">
        <v>749</v>
      </c>
      <c r="H305" s="12">
        <v>3</v>
      </c>
      <c r="I305" s="12" t="s">
        <v>444</v>
      </c>
      <c r="J305" s="12">
        <v>0</v>
      </c>
      <c r="K305" s="13"/>
      <c r="L305" s="12" t="s">
        <v>434</v>
      </c>
      <c r="M305" s="12"/>
      <c r="N305" s="11"/>
    </row>
    <row r="306" spans="1:14" ht="15.75" customHeight="1" x14ac:dyDescent="0.35">
      <c r="A306" s="7">
        <v>305</v>
      </c>
      <c r="B306" s="7" t="s">
        <v>414</v>
      </c>
      <c r="C306" s="9" t="str">
        <f>IFERROR(INDEX('Item Bank'!$D$2:$D$78,MATCH($B306,'Item Bank'!$A$2:$A$78,0)),"")</f>
        <v>What is Mount Shonkolo (Shonkolla) in neighboring Hadiya geography?</v>
      </c>
      <c r="D306" s="9" t="str">
        <f>IFERROR(INDEX('Item Bank'!$B$2:$B$78,MATCH($B306,'Item Bank'!$A$2:$A$78,0)),"")</f>
        <v>Geography</v>
      </c>
      <c r="E306" s="7" t="s">
        <v>431</v>
      </c>
      <c r="F306" s="10">
        <v>46244</v>
      </c>
      <c r="G306" s="11" t="s">
        <v>750</v>
      </c>
      <c r="H306" s="12">
        <v>2</v>
      </c>
      <c r="I306" s="12" t="s">
        <v>444</v>
      </c>
      <c r="J306" s="12">
        <v>0</v>
      </c>
      <c r="K306" s="13"/>
      <c r="L306" s="12" t="s">
        <v>434</v>
      </c>
      <c r="M306" s="12"/>
      <c r="N306" s="11"/>
    </row>
    <row r="307" spans="1:14" ht="15.75" customHeight="1" x14ac:dyDescent="0.35">
      <c r="A307" s="7">
        <v>306</v>
      </c>
      <c r="B307" s="7" t="s">
        <v>414</v>
      </c>
      <c r="C307" s="9" t="str">
        <f>IFERROR(INDEX('Item Bank'!$D$2:$D$78,MATCH($B307,'Item Bank'!$A$2:$A$78,0)),"")</f>
        <v>What is Mount Shonkolo (Shonkolla) in neighboring Hadiya geography?</v>
      </c>
      <c r="D307" s="9" t="str">
        <f>IFERROR(INDEX('Item Bank'!$B$2:$B$78,MATCH($B307,'Item Bank'!$A$2:$A$78,0)),"")</f>
        <v>Geography</v>
      </c>
      <c r="E307" s="7" t="s">
        <v>435</v>
      </c>
      <c r="F307" s="10">
        <v>46245</v>
      </c>
      <c r="G307" s="11" t="s">
        <v>751</v>
      </c>
      <c r="H307" s="12">
        <v>1</v>
      </c>
      <c r="I307" s="12" t="s">
        <v>448</v>
      </c>
      <c r="J307" s="12">
        <v>0</v>
      </c>
      <c r="K307" s="13"/>
      <c r="L307" s="12" t="s">
        <v>434</v>
      </c>
      <c r="M307" s="12"/>
      <c r="N307" s="11"/>
    </row>
    <row r="308" spans="1:14" ht="15.75" customHeight="1" x14ac:dyDescent="0.35">
      <c r="A308" s="7">
        <v>307</v>
      </c>
      <c r="B308" s="7" t="s">
        <v>414</v>
      </c>
      <c r="C308" s="9" t="str">
        <f>IFERROR(INDEX('Item Bank'!$D$2:$D$78,MATCH($B308,'Item Bank'!$A$2:$A$78,0)),"")</f>
        <v>What is Mount Shonkolo (Shonkolla) in neighboring Hadiya geography?</v>
      </c>
      <c r="D308" s="9" t="str">
        <f>IFERROR(INDEX('Item Bank'!$B$2:$B$78,MATCH($B308,'Item Bank'!$A$2:$A$78,0)),"")</f>
        <v>Geography</v>
      </c>
      <c r="E308" s="7" t="s">
        <v>438</v>
      </c>
      <c r="F308" s="10">
        <v>46245</v>
      </c>
      <c r="G308" s="11" t="s">
        <v>752</v>
      </c>
      <c r="H308" s="12">
        <v>0</v>
      </c>
      <c r="I308" s="12" t="s">
        <v>444</v>
      </c>
      <c r="J308" s="12">
        <v>0</v>
      </c>
      <c r="K308" s="13"/>
      <c r="L308" s="12" t="s">
        <v>434</v>
      </c>
      <c r="M308" s="12"/>
      <c r="N308" s="11"/>
    </row>
    <row r="309" spans="1:14" ht="15.75" customHeight="1" x14ac:dyDescent="0.35">
      <c r="A309" s="7">
        <v>308</v>
      </c>
      <c r="B309" s="7" t="s">
        <v>414</v>
      </c>
      <c r="C309" s="9" t="str">
        <f>IFERROR(INDEX('Item Bank'!$D$2:$D$78,MATCH($B309,'Item Bank'!$A$2:$A$78,0)),"")</f>
        <v>What is Mount Shonkolo (Shonkolla) in neighboring Hadiya geography?</v>
      </c>
      <c r="D309" s="9" t="str">
        <f>IFERROR(INDEX('Item Bank'!$B$2:$B$78,MATCH($B309,'Item Bank'!$A$2:$A$78,0)),"")</f>
        <v>Geography</v>
      </c>
      <c r="E309" s="7" t="s">
        <v>440</v>
      </c>
      <c r="F309" s="10">
        <v>46245</v>
      </c>
      <c r="G309" s="11" t="s">
        <v>415</v>
      </c>
      <c r="H309" s="12">
        <v>0</v>
      </c>
      <c r="I309" s="12" t="s">
        <v>444</v>
      </c>
      <c r="J309" s="12">
        <v>0</v>
      </c>
      <c r="K309" s="13"/>
      <c r="L309" s="12" t="s">
        <v>434</v>
      </c>
      <c r="M309" s="12"/>
      <c r="N309" s="11"/>
    </row>
  </sheetData>
  <dataValidations count="6">
    <dataValidation type="list" allowBlank="1" sqref="E2:E309">
      <formula1>"ChatGPT,Gemini,Claude,DeepSeek,EthioLLM,Other"</formula1>
      <formula2>0</formula2>
    </dataValidation>
    <dataValidation type="list" allowBlank="1" sqref="H2:H309">
      <formula1>"0,1,2,3,4"</formula1>
      <formula2>0</formula2>
    </dataValidation>
    <dataValidation type="list" allowBlank="1" sqref="I2:I309">
      <formula1>"None,Minor,Severe"</formula1>
      <formula2>0</formula2>
    </dataValidation>
    <dataValidation type="list" allowBlank="1" sqref="J2:J309">
      <formula1>"0,1,2,3"</formula1>
      <formula2>0</formula2>
    </dataValidation>
    <dataValidation type="list" allowBlank="1" sqref="K2:K309">
      <formula1>"None / N/A,Generic Ethiopian,Western Analogy,Other Ethiopian Group,Fictional/Invented,Other"</formula1>
      <formula2>0</formula2>
    </dataValidation>
    <dataValidation type="list" allowBlank="1" sqref="L2:M309">
      <formula1>"Y,N"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showGridLines="0" zoomScaleNormal="100" workbookViewId="0"/>
  </sheetViews>
  <sheetFormatPr defaultColWidth="8.6328125" defaultRowHeight="14.5" x14ac:dyDescent="0.35"/>
  <cols>
    <col min="1" max="1" width="18" style="1" customWidth="1"/>
    <col min="2" max="2" width="12" style="1" customWidth="1"/>
    <col min="3" max="6" width="14" style="1" customWidth="1"/>
    <col min="7" max="7" width="16" style="1" customWidth="1"/>
  </cols>
  <sheetData>
    <row r="1" spans="1:7" ht="24" customHeight="1" x14ac:dyDescent="0.4">
      <c r="A1" s="14" t="s">
        <v>753</v>
      </c>
    </row>
    <row r="3" spans="1:7" ht="39.75" customHeight="1" x14ac:dyDescent="0.35">
      <c r="A3" s="6" t="s">
        <v>754</v>
      </c>
      <c r="B3" s="6" t="s">
        <v>755</v>
      </c>
      <c r="C3" s="6" t="s">
        <v>756</v>
      </c>
      <c r="D3" s="6" t="s">
        <v>757</v>
      </c>
      <c r="E3" s="6" t="s">
        <v>758</v>
      </c>
      <c r="F3" s="6" t="s">
        <v>759</v>
      </c>
      <c r="G3" s="6" t="s">
        <v>760</v>
      </c>
    </row>
    <row r="4" spans="1:7" ht="14.25" customHeight="1" x14ac:dyDescent="0.35">
      <c r="A4" s="8" t="s">
        <v>431</v>
      </c>
      <c r="B4" s="7">
        <f>COUNTIF(Responses!$E$2:$E$309,$A4)</f>
        <v>77</v>
      </c>
      <c r="C4" s="7">
        <f>IFERROR(ROUND(AVERAGEIFS(Responses!$H$2:$H$309,Responses!$E$2:$E$309,$A4),2),"")</f>
        <v>1.55</v>
      </c>
      <c r="D4" s="15">
        <f>IFERROR(ROUND((COUNTIFS(Responses!$E$2:$E$309,$A4,Responses!$I$2:$I$309,"Minor")+COUNTIFS(Responses!$E$2:$E$309,$A4,Responses!$I$2:$I$309,"Severe"))/COUNTIF(Responses!$E$2:$E$309,$A4),2),"")</f>
        <v>0.56999999999999995</v>
      </c>
      <c r="E4" s="15">
        <f>IFERROR(ROUND(COUNTIFS(Responses!$E$2:$E$309,$A4,Responses!$I$2:$I$309,"Severe")/COUNTIF(Responses!$E$2:$E$309,$A4),2),"")</f>
        <v>0.25</v>
      </c>
      <c r="F4" s="7">
        <f>IFERROR(ROUND(AVERAGEIFS(Responses!$J$2:$J$309,Responses!$E$2:$E$309,$A4),2),"")</f>
        <v>0.03</v>
      </c>
      <c r="G4" s="15">
        <f>IFERROR(ROUND(COUNTIFS(Responses!$E$2:$E$309,$A4,Responses!$L$2:$L$309,"Y")/COUNTIF(Responses!$E$2:$E$309,$A4),2),"")</f>
        <v>0</v>
      </c>
    </row>
    <row r="5" spans="1:7" ht="14.25" customHeight="1" x14ac:dyDescent="0.35">
      <c r="A5" s="8" t="s">
        <v>435</v>
      </c>
      <c r="B5" s="7">
        <f>COUNTIF(Responses!$E$2:$E$309,$A5)</f>
        <v>77</v>
      </c>
      <c r="C5" s="7">
        <f>IFERROR(ROUND(AVERAGEIFS(Responses!$H$2:$H$309,Responses!$E$2:$E$309,$A5),2),"")</f>
        <v>2.36</v>
      </c>
      <c r="D5" s="15">
        <f>IFERROR(ROUND((COUNTIFS(Responses!$E$2:$E$309,$A5,Responses!$I$2:$I$309,"Minor")+COUNTIFS(Responses!$E$2:$E$309,$A5,Responses!$I$2:$I$309,"Severe"))/COUNTIF(Responses!$E$2:$E$309,$A5),2),"")</f>
        <v>0.57999999999999996</v>
      </c>
      <c r="E5" s="15">
        <f>IFERROR(ROUND(COUNTIFS(Responses!$E$2:$E$309,$A5,Responses!$I$2:$I$309,"Severe")/COUNTIF(Responses!$E$2:$E$309,$A5),2),"")</f>
        <v>0.27</v>
      </c>
      <c r="F5" s="7">
        <f>IFERROR(ROUND(AVERAGEIFS(Responses!$J$2:$J$309,Responses!$E$2:$E$309,$A5),2),"")</f>
        <v>0.08</v>
      </c>
      <c r="G5" s="15">
        <f>IFERROR(ROUND(COUNTIFS(Responses!$E$2:$E$309,$A5,Responses!$L$2:$L$309,"Y")/COUNTIF(Responses!$E$2:$E$309,$A5),2),"")</f>
        <v>0</v>
      </c>
    </row>
    <row r="6" spans="1:7" ht="14.25" customHeight="1" x14ac:dyDescent="0.35">
      <c r="A6" s="8" t="s">
        <v>438</v>
      </c>
      <c r="B6" s="7">
        <f>COUNTIF(Responses!$E$2:$E$309,$A6)</f>
        <v>77</v>
      </c>
      <c r="C6" s="7">
        <f>IFERROR(ROUND(AVERAGEIFS(Responses!$H$2:$H$309,Responses!$E$2:$E$309,$A6),2),"")</f>
        <v>0.36</v>
      </c>
      <c r="D6" s="15">
        <f>IFERROR(ROUND((COUNTIFS(Responses!$E$2:$E$309,$A6,Responses!$I$2:$I$309,"Minor")+COUNTIFS(Responses!$E$2:$E$309,$A6,Responses!$I$2:$I$309,"Severe"))/COUNTIF(Responses!$E$2:$E$309,$A6),2),"")</f>
        <v>0.05</v>
      </c>
      <c r="E6" s="15">
        <f>IFERROR(ROUND(COUNTIFS(Responses!$E$2:$E$309,$A6,Responses!$I$2:$I$309,"Severe")/COUNTIF(Responses!$E$2:$E$309,$A6),2),"")</f>
        <v>0.04</v>
      </c>
      <c r="F6" s="7">
        <f>IFERROR(ROUND(AVERAGEIFS(Responses!$J$2:$J$309,Responses!$E$2:$E$309,$A6),2),"")</f>
        <v>0.01</v>
      </c>
      <c r="G6" s="15">
        <f>IFERROR(ROUND(COUNTIFS(Responses!$E$2:$E$309,$A6,Responses!$L$2:$L$309,"Y")/COUNTIF(Responses!$E$2:$E$309,$A6),2),"")</f>
        <v>0</v>
      </c>
    </row>
    <row r="7" spans="1:7" ht="14.25" customHeight="1" x14ac:dyDescent="0.35">
      <c r="A7" s="8" t="s">
        <v>440</v>
      </c>
      <c r="B7" s="7">
        <f>COUNTIF(Responses!$E$2:$E$309,$A7)</f>
        <v>77</v>
      </c>
      <c r="C7" s="7">
        <f>IFERROR(ROUND(AVERAGEIFS(Responses!$H$2:$H$309,Responses!$E$2:$E$309,$A7),2),"")</f>
        <v>0.73</v>
      </c>
      <c r="D7" s="15">
        <f>IFERROR(ROUND((COUNTIFS(Responses!$E$2:$E$309,$A7,Responses!$I$2:$I$309,"Minor")+COUNTIFS(Responses!$E$2:$E$309,$A7,Responses!$I$2:$I$309,"Severe"))/COUNTIF(Responses!$E$2:$E$309,$A7),2),"")</f>
        <v>0.22</v>
      </c>
      <c r="E7" s="15">
        <f>IFERROR(ROUND(COUNTIFS(Responses!$E$2:$E$309,$A7,Responses!$I$2:$I$309,"Severe")/COUNTIF(Responses!$E$2:$E$309,$A7),2),"")</f>
        <v>0.06</v>
      </c>
      <c r="F7" s="7">
        <f>IFERROR(ROUND(AVERAGEIFS(Responses!$J$2:$J$309,Responses!$E$2:$E$309,$A7),2),"")</f>
        <v>0.03</v>
      </c>
      <c r="G7" s="15">
        <f>IFERROR(ROUND(COUNTIFS(Responses!$E$2:$E$309,$A7,Responses!$L$2:$L$309,"Y")/COUNTIF(Responses!$E$2:$E$309,$A7),2),"")</f>
        <v>0</v>
      </c>
    </row>
    <row r="8" spans="1:7" ht="14.25" customHeight="1" x14ac:dyDescent="0.35">
      <c r="A8" s="8" t="s">
        <v>761</v>
      </c>
      <c r="B8" s="7">
        <f>COUNTIF(Responses!$E$2:$E$309,$A8)</f>
        <v>0</v>
      </c>
      <c r="C8" s="7" t="str">
        <f>IFERROR(ROUND(AVERAGEIFS(Responses!$H$2:$H$309,Responses!$E$2:$E$309,$A8),2),"")</f>
        <v/>
      </c>
      <c r="D8" s="15" t="str">
        <f>IFERROR(ROUND((COUNTIFS(Responses!$E$2:$E$309,$A8,Responses!$I$2:$I$309,"Minor")+COUNTIFS(Responses!$E$2:$E$309,$A8,Responses!$I$2:$I$309,"Severe"))/COUNTIF(Responses!$E$2:$E$309,$A8),2),"")</f>
        <v/>
      </c>
      <c r="E8" s="15" t="str">
        <f>IFERROR(ROUND(COUNTIFS(Responses!$E$2:$E$309,$A8,Responses!$I$2:$I$309,"Severe")/COUNTIF(Responses!$E$2:$E$309,$A8),2),"")</f>
        <v/>
      </c>
      <c r="F8" s="7" t="str">
        <f>IFERROR(ROUND(AVERAGEIFS(Responses!$J$2:$J$309,Responses!$E$2:$E$309,$A8),2),"")</f>
        <v/>
      </c>
      <c r="G8" s="15" t="str">
        <f>IFERROR(ROUND(COUNTIFS(Responses!$E$2:$E$309,$A8,Responses!$L$2:$L$309,"Y")/COUNTIF(Responses!$E$2:$E$309,$A8),2),"")</f>
        <v/>
      </c>
    </row>
    <row r="9" spans="1:7" ht="14.25" customHeight="1" x14ac:dyDescent="0.35">
      <c r="A9" s="8" t="s">
        <v>762</v>
      </c>
      <c r="B9" s="7">
        <f>COUNTIF(Responses!$E$2:$E$309,$A9)</f>
        <v>0</v>
      </c>
      <c r="C9" s="7" t="str">
        <f>IFERROR(ROUND(AVERAGEIFS(Responses!$H$2:$H$309,Responses!$E$2:$E$309,$A9),2),"")</f>
        <v/>
      </c>
      <c r="D9" s="15" t="str">
        <f>IFERROR(ROUND((COUNTIFS(Responses!$E$2:$E$309,$A9,Responses!$I$2:$I$309,"Minor")+COUNTIFS(Responses!$E$2:$E$309,$A9,Responses!$I$2:$I$309,"Severe"))/COUNTIF(Responses!$E$2:$E$309,$A9),2),"")</f>
        <v/>
      </c>
      <c r="E9" s="15" t="str">
        <f>IFERROR(ROUND(COUNTIFS(Responses!$E$2:$E$309,$A9,Responses!$I$2:$I$309,"Severe")/COUNTIF(Responses!$E$2:$E$309,$A9),2),"")</f>
        <v/>
      </c>
      <c r="F9" s="7" t="str">
        <f>IFERROR(ROUND(AVERAGEIFS(Responses!$J$2:$J$309,Responses!$E$2:$E$309,$A9),2),"")</f>
        <v/>
      </c>
      <c r="G9" s="15" t="str">
        <f>IFERROR(ROUND(COUNTIFS(Responses!$E$2:$E$309,$A9,Responses!$L$2:$L$309,"Y")/COUNTIF(Responses!$E$2:$E$309,$A9),2),"")</f>
        <v/>
      </c>
    </row>
    <row r="12" spans="1:7" ht="25.5" customHeight="1" x14ac:dyDescent="0.35">
      <c r="A12" s="16" t="s">
        <v>763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Item Bank</vt:lpstr>
      <vt:lpstr>Responses</vt:lpstr>
      <vt:lpstr>Summary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2026-08-10T06:51:00Z</dcterms:created>
  <dcterms:modified xsi:type="dcterms:W3CDTF">2026-08-14T16:50:22Z</dcterms:modified>
  <dc:language>en-US</dc:language>
</cp:coreProperties>
</file>